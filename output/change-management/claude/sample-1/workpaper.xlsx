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Evidence Inventory" sheetId="4" state="visible" r:id="rId4"/>
    <sheet name="Decision Log" sheetId="5" state="visible" r:id="rId5"/>
  </sheets>
  <definedNames/>
  <calcPr calcId="124519" fullCalcOnLoad="1"/>
</workbook>
</file>

<file path=xl/styles.xml><?xml version="1.0" encoding="utf-8"?>
<styleSheet xmlns="http://schemas.openxmlformats.org/spreadsheetml/2006/main">
  <numFmts count="1">
    <numFmt numFmtId="164" formatCode="&quot;$&quot;#,##0.0000"/>
  </numFmts>
  <fonts count="14">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A17321"/>
      <sz val="16"/>
    </font>
    <font>
      <name val="SF Pro Text"/>
      <b val="1"/>
      <color rgb="006F6A5F"/>
      <sz val="9"/>
    </font>
    <font>
      <name val="SF Pro Text"/>
      <color rgb="000B362C"/>
      <sz val="10"/>
    </font>
    <font>
      <name val="SF Pro Text"/>
      <b val="1"/>
      <color rgb="00148F72"/>
      <sz val="9"/>
    </font>
    <font>
      <name val="SF Pro Text"/>
      <b val="1"/>
      <color rgb="00A17321"/>
      <sz val="9"/>
    </font>
    <font>
      <name val="SF Pro Text"/>
      <b val="1"/>
      <color rgb="00148F72"/>
      <sz val="10"/>
    </font>
    <font>
      <name val="SF Pro Text"/>
      <color rgb="006F6A5F"/>
      <sz val="9"/>
    </font>
    <font>
      <name val="SF Pro Text"/>
      <b val="1"/>
      <color rgb="000B362C"/>
      <sz val="10"/>
    </font>
    <font>
      <name val="SF Pro Text"/>
      <b val="1"/>
      <color rgb="00A17321"/>
      <sz val="10"/>
    </font>
    <font>
      <b val="1"/>
      <color rgb="000B362C"/>
    </font>
  </fonts>
  <fills count="5">
    <fill>
      <patternFill/>
    </fill>
    <fill>
      <patternFill patternType="gray125"/>
    </fill>
    <fill>
      <patternFill patternType="solid">
        <fgColor rgb="00F5EDD9"/>
      </patternFill>
    </fill>
    <fill>
      <patternFill patternType="solid">
        <fgColor rgb="00FAF8F3"/>
      </patternFill>
    </fill>
    <fill>
      <patternFill patternType="solid">
        <fgColor rgb="00E7F3EE"/>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11" fillId="4" borderId="1" applyAlignment="1" pivotButton="0" quotePrefix="0" xfId="0">
      <alignment vertical="center"/>
    </xf>
    <xf numFmtId="0" fontId="6" fillId="0" borderId="1" applyAlignment="1" pivotButton="0" quotePrefix="0" xfId="0">
      <alignment vertical="top" wrapText="1"/>
    </xf>
    <xf numFmtId="0" fontId="9" fillId="4" borderId="1" applyAlignment="1" pivotButton="0" quotePrefix="0" xfId="0">
      <alignment vertical="top" wrapText="1"/>
    </xf>
    <xf numFmtId="0" fontId="12" fillId="2" borderId="1" applyAlignment="1" pivotButton="0" quotePrefix="0" xfId="0">
      <alignment vertical="top" wrapText="1"/>
    </xf>
    <xf numFmtId="164" fontId="6" fillId="0" borderId="1" applyAlignment="1" pivotButton="0" quotePrefix="0" xfId="0">
      <alignment vertical="top" wrapText="1"/>
    </xf>
    <xf numFmtId="0" fontId="13" fillId="0" borderId="0" pivotButton="0" quotePrefix="0" xfId="0"/>
    <xf numFmtId="164"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Change Management</t>
        </is>
      </c>
    </row>
    <row r="4">
      <c r="A4" s="3" t="inlineStr">
        <is>
          <t>Verdict</t>
        </is>
      </c>
      <c r="B4" s="4" t="inlineStr">
        <is>
          <t>CONTROL INCONCLUSIVE</t>
        </is>
      </c>
    </row>
    <row r="6">
      <c r="A6" s="5" t="inlineStr">
        <is>
          <t>Sample</t>
        </is>
      </c>
      <c r="B6" s="6" t="inlineStr">
        <is>
          <t>sample-1</t>
        </is>
      </c>
    </row>
    <row r="7">
      <c r="A7" s="5" t="inlineStr">
        <is>
          <t>Model</t>
        </is>
      </c>
      <c r="B7" s="6" t="inlineStr">
        <is>
          <t>claude:claude-opus-4-7</t>
        </is>
      </c>
    </row>
    <row r="8">
      <c r="A8" s="5" t="inlineStr">
        <is>
          <t>Generated</t>
        </is>
      </c>
      <c r="B8" s="6" t="inlineStr">
        <is>
          <t>03 Jul 2026, 03:42 UTC</t>
        </is>
      </c>
    </row>
    <row r="10">
      <c r="A10" s="7" t="inlineStr">
        <is>
          <t>Executive summary</t>
        </is>
      </c>
    </row>
    <row r="11" ht="60" customHeight="1">
      <c r="A11" s="8" t="inlineStr">
        <is>
          <t>The control cannot be signed off from this evidence bundle. 1 attribute(s) need further evidence, 2 passed, and none positively failed. Request the missing evidence and re-audit.</t>
        </is>
      </c>
    </row>
    <row r="13">
      <c r="A13" s="7" t="inlineStr">
        <is>
          <t>Key findings</t>
        </is>
      </c>
    </row>
    <row r="14">
      <c r="A14" s="9" t="inlineStr">
        <is>
          <t>WARN</t>
        </is>
      </c>
      <c r="B14" s="8" t="inlineStr">
        <is>
          <t>Insufficient evidence: Production changes are approved by an authorised change approver prior to deployment</t>
        </is>
      </c>
    </row>
    <row r="15">
      <c r="A15" s="7" t="inlineStr">
        <is>
          <t>PASS</t>
        </is>
      </c>
      <c r="B15" s="8" t="inlineStr">
        <is>
          <t>Every production change has a corresponding change request that documents scope, risk classification, and rollback plan</t>
        </is>
      </c>
    </row>
    <row r="16">
      <c r="A16" s="7" t="inlineStr">
        <is>
          <t>PASS</t>
        </is>
      </c>
      <c r="B16" s="8" t="inlineStr">
        <is>
          <t>Pre-deployment testing is completed and evidence retained before release</t>
        </is>
      </c>
    </row>
    <row r="18">
      <c r="A18" s="7" t="inlineStr">
        <is>
          <t>Recommended actions</t>
        </is>
      </c>
    </row>
    <row r="19" ht="30" customHeight="1">
      <c r="A19" s="10" t="inlineStr">
        <is>
          <t>1</t>
        </is>
      </c>
      <c r="B19" s="8" t="inlineStr">
        <is>
          <t>Provide additional evidence to close “Production changes are approved by an authorised change approver prior to deployment”. Specifically: The change request names Priya Nadkarni (Change Approver, CAB) as approver, separate from requester Marcus Bell, with an approval timestamp of 2026-06-23 15:42 UTC — before the 2026-06-24 20:00 UTC deployment window.</t>
        </is>
      </c>
    </row>
    <row r="21">
      <c r="A21" s="7" t="inlineStr">
        <is>
          <t>Reviewer sign-off</t>
        </is>
      </c>
    </row>
    <row r="22">
      <c r="A22" s="11" t="inlineStr">
        <is>
          <t>Decision (Accept / Rework / Reject)</t>
        </is>
      </c>
      <c r="B22" s="12" t="inlineStr"/>
      <c r="C22" s="13" t="n"/>
      <c r="D22" s="14" t="n"/>
    </row>
    <row r="23">
      <c r="A23" s="11" t="inlineStr">
        <is>
          <t>Reviewer name</t>
        </is>
      </c>
      <c r="B23" s="12" t="inlineStr"/>
      <c r="C23" s="13" t="n"/>
      <c r="D23" s="14" t="n"/>
    </row>
    <row r="24">
      <c r="A24" s="11" t="inlineStr">
        <is>
          <t>Reviewer role</t>
        </is>
      </c>
      <c r="B24" s="12" t="inlineStr"/>
      <c r="C24" s="13" t="n"/>
      <c r="D24" s="14" t="n"/>
    </row>
    <row r="25">
      <c r="A25" s="11" t="inlineStr">
        <is>
          <t>Date</t>
        </is>
      </c>
      <c r="B25" s="12" t="inlineStr"/>
      <c r="C25" s="13" t="n"/>
      <c r="D25" s="14" t="n"/>
    </row>
    <row r="26">
      <c r="A26" s="11" t="inlineStr">
        <is>
          <t>Comments</t>
        </is>
      </c>
      <c r="B26" s="12" t="inlineStr"/>
      <c r="C26" s="13" t="n"/>
      <c r="D26" s="14" t="n"/>
    </row>
  </sheetData>
  <mergeCells count="13">
    <mergeCell ref="A1:D1"/>
    <mergeCell ref="B19:D19"/>
    <mergeCell ref="B14:D14"/>
    <mergeCell ref="B23:D23"/>
    <mergeCell ref="B22:D22"/>
    <mergeCell ref="B4:D4"/>
    <mergeCell ref="B26:D26"/>
    <mergeCell ref="A2:D2"/>
    <mergeCell ref="A11:D11"/>
    <mergeCell ref="B15:D15"/>
    <mergeCell ref="B25:D25"/>
    <mergeCell ref="B24:D24"/>
    <mergeCell ref="B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5" t="inlineStr">
        <is>
          <t>Attribute</t>
        </is>
      </c>
      <c r="B1" s="15" t="inlineStr">
        <is>
          <t>Verdict</t>
        </is>
      </c>
      <c r="C1" s="15" t="inlineStr">
        <is>
          <t>Confidence</t>
        </is>
      </c>
      <c r="D1" s="15" t="inlineStr">
        <is>
          <t>Rationale</t>
        </is>
      </c>
      <c r="E1" s="15" t="inlineStr">
        <is>
          <t>Citations</t>
        </is>
      </c>
      <c r="F1" s="15" t="inlineStr">
        <is>
          <t>Exceptions considered</t>
        </is>
      </c>
    </row>
    <row r="2" ht="80" customHeight="1">
      <c r="A2" s="16" t="inlineStr">
        <is>
          <t>Every production change has a corresponding change request that documents scope, risk classification, and rollback plan</t>
        </is>
      </c>
      <c r="B2" s="17" t="inlineStr">
        <is>
          <t>SUCCESS</t>
        </is>
      </c>
      <c r="C2" s="16" t="n">
        <v>0.95</v>
      </c>
      <c r="D2" s="16" t="inlineStr">
        <is>
          <t>Change request CHG-2026-0847 exists and satisfies every documentation criterion: identifier follows CHG-YYYY-NNNN format; scope lists systems (payments-primary RDS, payments-api) and repo (northpeak/infra-terraform PR #2411); risk classified Medium; rollback plan has three concrete steps with validated RTO; named requester (Marcus Bell) and named approver (Priya Nadkarni); planned window 2026-06-24 20:00–22:00 UTC; category Normal. Change targets production payments cluster, so no out-of-scope exception applies.</t>
        </is>
      </c>
      <c r="E2" s="16" t="n">
        <v>5</v>
      </c>
      <c r="F2" s="16" t="inlineStr">
        <is>
          <t>Documentation-only exception: rejected — change alters production Postgres cluster and application code.
Dev/staging exception: rejected — target is payments-primary production RDS.
Incident Response hotfix: rejected — planned Normal change with CAB approval, not break-fix.</t>
        </is>
      </c>
    </row>
    <row r="3" ht="80" customHeight="1">
      <c r="A3" s="16" t="inlineStr">
        <is>
          <t>Production changes are approved by an authorised change approver prior to deployment</t>
        </is>
      </c>
      <c r="B3" s="18" t="inlineStr">
        <is>
          <t>FURTHER_EVIDENCE_REQUIRED</t>
        </is>
      </c>
      <c r="C3" s="16" t="n">
        <v>0.7</v>
      </c>
      <c r="D3" s="16" t="inlineStr">
        <is>
          <t>The change request names Priya Nadkarni (Change Approver, CAB) as approver, separate from requester Marcus Bell, with an approval timestamp of 2026-06-23 15:42 UTC — before the 2026-06-24 20:00 UTC deployment window. The deployment log independently corroborates this approval. However, this is a Normal change requiring 2 approvers (Change Coordinator + Change Approver from CAB); only Priya (CAB Approver) is documented — no Change Coordinator approval is shown. Additionally, the signed CAB minutes (`cab-minutes-w25.pdf`) evidencing CAB review are explicitly not included in the bundle, and the IdP role assignment for Priya as Change Approver is not provided. Providing the CAB minutes, an IdP role listing confirming Priya's Change Approver role, and evidence of a second Change Coordinator approval would resolve this to SUCCESS.</t>
        </is>
      </c>
      <c r="E3" s="16" t="n">
        <v>3</v>
      </c>
      <c r="F3" s="16" t="inlineStr">
        <is>
          <t>Documentation-only exception — rejected; this is a Postgres major-version upgrade on a production cluster, clearly in-scope.
Emergency retrospective approval — not applicable; change is classified Normal and approval is pre-deployment.</t>
        </is>
      </c>
    </row>
    <row r="4" ht="80" customHeight="1">
      <c r="A4" s="16" t="inlineStr">
        <is>
          <t>Pre-deployment testing is completed and evidence retained before release</t>
        </is>
      </c>
      <c r="B4" s="17" t="inlineStr">
        <is>
          <t>SUCCESS</t>
        </is>
      </c>
      <c r="C4" s="16" t="n">
        <v>0.9</v>
      </c>
      <c r="D4" s="16" t="inlineStr">
        <is>
          <t>Change is Normal category and has both a test plan and test results attached (pre-deployment-test-results.xlsx referenced in the change request, listing 42 planned test cases including 12 functional smoke tests). All sampled functional smoke tests executed on 2026-06-23, prior to the deployment window opening on 2026-06-24 20:00 UTC. All sampled results show PASS; no failed tests observed that would block deployment. Emergency-change criteria are not applicable.</t>
        </is>
      </c>
      <c r="E4" s="16" t="n">
        <v>4</v>
      </c>
      <c r="F4" s="16" t="inlineStr">
        <is>
          <t>Emergency-change post-deployment verification (within 24h) criterion — rejected as inapplicable because the change is categorised Normal.
Failed-test / accepted-risk criterion — not triggered; all sampled test results are 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5" t="inlineStr">
        <is>
          <t>Attribute</t>
        </is>
      </c>
      <c r="B1" s="15" t="inlineStr">
        <is>
          <t>File</t>
        </is>
      </c>
      <c r="C1" s="15" t="inlineStr">
        <is>
          <t>Locator</t>
        </is>
      </c>
      <c r="D1" s="15" t="inlineStr">
        <is>
          <t>Observation</t>
        </is>
      </c>
    </row>
    <row r="2">
      <c r="A2" s="16" t="inlineStr">
        <is>
          <t>Every production change has a corresponding change request that documents scope, risk classification, and rollback plan</t>
        </is>
      </c>
      <c r="B2" s="16" t="inlineStr">
        <is>
          <t>change-request.md</t>
        </is>
      </c>
      <c r="C2" s="16" t="inlineStr">
        <is>
          <t>Header line</t>
        </is>
      </c>
      <c r="D2" s="16" t="inlineStr">
        <is>
          <t>Title reads 'CHG-2026-0847 — Upgrade Postgres 15 → 16 on payments-primary cluster' — identifier matches CHG-YYYY-NNNN format.</t>
        </is>
      </c>
    </row>
    <row r="3">
      <c r="A3" s="16" t="inlineStr">
        <is>
          <t>Every production change has a corresponding change request that documents scope, risk classification, and rollback plan</t>
        </is>
      </c>
      <c r="B3" s="16" t="inlineStr">
        <is>
          <t>change-request.md</t>
        </is>
      </c>
      <c r="C3" s="16" t="inlineStr">
        <is>
          <t>Category/Risk/Systems header block</t>
        </is>
      </c>
      <c r="D3" s="16" t="inlineStr">
        <is>
          <t>Category: Normal; Risk: Medium; Systems affected: payments-primary (RDS), payments-api; Repositories touched: northpeak/infra-terraform PR #2411; Planned window 2026-06-24 20:00–22:00 UTC.</t>
        </is>
      </c>
    </row>
    <row r="4">
      <c r="A4" s="16" t="inlineStr">
        <is>
          <t>Every production change has a corresponding change request that documents scope, risk classification, and rollback plan</t>
        </is>
      </c>
      <c r="B4" s="16" t="inlineStr">
        <is>
          <t>change-request.md</t>
        </is>
      </c>
      <c r="C4" s="16" t="inlineStr">
        <is>
          <t>Scope section</t>
        </is>
      </c>
      <c r="D4" s="16" t="inlineStr">
        <is>
          <t>Documents Postgres 15.7→16.3 upgrade and pg library bump 8.11→8.13, no schema changes.</t>
        </is>
      </c>
    </row>
    <row r="5">
      <c r="A5" s="16" t="inlineStr">
        <is>
          <t>Every production change has a corresponding change request that documents scope, risk classification, and rollback plan</t>
        </is>
      </c>
      <c r="B5" s="16" t="inlineStr">
        <is>
          <t>change-request.md</t>
        </is>
      </c>
      <c r="C5" s="16" t="inlineStr">
        <is>
          <t>Rollback plan section</t>
        </is>
      </c>
      <c r="D5" s="16" t="inlineStr">
        <is>
          <t>Three-step rollback with snapshot ID snap-payments-2026-06-24-1955, redeploy pinned pg@8.11, health verification; RTO 25 min validated in staging drill 2026-06-19.</t>
        </is>
      </c>
    </row>
    <row r="6">
      <c r="A6" s="16" t="inlineStr">
        <is>
          <t>Every production change has a corresponding change request that documents scope, risk classification, and rollback plan</t>
        </is>
      </c>
      <c r="B6" s="16" t="inlineStr">
        <is>
          <t>change-request.md</t>
        </is>
      </c>
      <c r="C6" s="16" t="inlineStr">
        <is>
          <t>Requester and Approver sections</t>
        </is>
      </c>
      <c r="D6" s="16" t="inlineStr">
        <is>
          <t>Named requester Marcus Bell (Platform Engineer); named approver Priya Nadkarni (Change Approver, CAB).</t>
        </is>
      </c>
    </row>
    <row r="7">
      <c r="A7" s="16" t="inlineStr">
        <is>
          <t>Production changes are approved by an authorised change approver prior to deployment</t>
        </is>
      </c>
      <c r="B7" s="16" t="inlineStr">
        <is>
          <t>change-request.md</t>
        </is>
      </c>
      <c r="C7" s="16" t="inlineStr">
        <is>
          <t>Category / Approver / Approval record sections</t>
        </is>
      </c>
      <c r="D7" s="16" t="inlineStr">
        <is>
          <t>Category is 'Normal'; approver named as Priya Nadkarni (Change Approver, CAB); approval timestamp 2026-06-23 15:42 UTC noted as before deployment window; CAB reference CAB-2026-W25 cited; signed CAB minutes referenced as `cab-minutes-w25.pdf` but explicitly 'not included in this evidence bundle'. Only one approver is listed — no Change Coordinator approval documented.</t>
        </is>
      </c>
    </row>
    <row r="8">
      <c r="A8" s="16" t="inlineStr">
        <is>
          <t>Production changes are approved by an authorised change approver prior to deployment</t>
        </is>
      </c>
      <c r="B8" s="16" t="inlineStr">
        <is>
          <t>change-request.md</t>
        </is>
      </c>
      <c r="C8" s="16" t="inlineStr">
        <is>
          <t>Requester section</t>
        </is>
      </c>
      <c r="D8" s="16" t="inlineStr">
        <is>
          <t>Requester is Marcus Bell (Platform Engineer), distinct human from approver Priya Nadkarni — four-eyes principle satisfied on the recorded approver.</t>
        </is>
      </c>
    </row>
    <row r="9">
      <c r="A9" s="16" t="inlineStr">
        <is>
          <t>Production changes are approved by an authorised change approver prior to deployment</t>
        </is>
      </c>
      <c r="B9" s="16" t="inlineStr">
        <is>
          <t>deployment-log.txt</t>
        </is>
      </c>
      <c r="C9" s="16" t="inlineStr">
        <is>
          <t>Line at 2026-06-24 20:00:15 UTC</t>
        </is>
      </c>
      <c r="D9" s="16" t="inlineStr">
        <is>
          <t>Runner logs 'approval OK — CHG-2026-0847 approved by priya.nadkarni at 2026-06-23T15:42:00Z (CAB-2026-W25)', corroborating the approval timestamp precedes the 20:00:02 UTC deployment window start.</t>
        </is>
      </c>
    </row>
    <row r="10">
      <c r="A10" s="16" t="inlineStr">
        <is>
          <t>Pre-deployment testing is completed and evidence retained before release</t>
        </is>
      </c>
      <c r="B10" s="16" t="inlineStr">
        <is>
          <t>change-request.md</t>
        </is>
      </c>
      <c r="C10" s="16" t="inlineStr">
        <is>
          <t>Testing evidence section</t>
        </is>
      </c>
      <c r="D10" s="16" t="inlineStr">
        <is>
          <t>References pre-deployment-test-results.xlsx with 42 planned test cases: 12 functional smoke, 24 regression, 6 rollback validation — all pass on staging.</t>
        </is>
      </c>
    </row>
    <row r="11">
      <c r="A11" s="16" t="inlineStr">
        <is>
          <t>Pre-deployment testing is completed and evidence retained before release</t>
        </is>
      </c>
      <c r="B11" s="16" t="inlineStr">
        <is>
          <t>change-request.md</t>
        </is>
      </c>
      <c r="C11" s="16" t="inlineStr">
        <is>
          <t>Header — Category / Planned window</t>
        </is>
      </c>
      <c r="D11" s="16" t="inlineStr">
        <is>
          <t>Change is Normal category; planned deployment window 2026-06-24 20:00–22:00 UTC.</t>
        </is>
      </c>
    </row>
    <row r="12">
      <c r="A12" s="16" t="inlineStr">
        <is>
          <t>Pre-deployment testing is completed and evidence retained before release</t>
        </is>
      </c>
      <c r="B12" s="16" t="inlineStr">
        <is>
          <t>pre-deployment-test-results.xlsx</t>
        </is>
      </c>
      <c r="C12" s="16" t="inlineStr">
        <is>
          <t>Test Cases!A1:F13</t>
        </is>
      </c>
      <c r="D12" s="16" t="inlineStr">
        <is>
          <t>Sheet contains 12 rows of test cases with columns Test ID, Category, Description, Result, Executed By, Executed At. Sampled rows TC-001 through TC-005 are Functional smoke tests covering payments API /healthz, ledger insert/read, transaction id constraint, and currency conversion — all Result=PASS, executed 2026-06-23 14:12–14:14 by test-bot.</t>
        </is>
      </c>
    </row>
    <row r="13">
      <c r="A13" s="16" t="inlineStr">
        <is>
          <t>Pre-deployment testing is completed and evidence retained before release</t>
        </is>
      </c>
      <c r="B13" s="16" t="inlineStr">
        <is>
          <t>deployment-log.txt</t>
        </is>
      </c>
      <c r="C13" s="16" t="inlineStr">
        <is>
          <t>window start line</t>
        </is>
      </c>
      <c r="D13" s="16" t="inlineStr">
        <is>
          <t>Deployment began 2026-06-24 20:00:02 UTC, which is after test execution on 2026-06-23 — testing dated prior to deployment.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55" customWidth="1" min="4" max="4"/>
    <col width="40" customWidth="1" min="5" max="5"/>
  </cols>
  <sheetData>
    <row r="1">
      <c r="A1" s="15" t="inlineStr">
        <is>
          <t>File</t>
        </is>
      </c>
      <c r="B1" s="15" t="inlineStr">
        <is>
          <t>Type</t>
        </is>
      </c>
      <c r="C1" s="15" t="inlineStr">
        <is>
          <t>Size (bytes)</t>
        </is>
      </c>
      <c r="D1" s="15" t="inlineStr">
        <is>
          <t>Extraction summary</t>
        </is>
      </c>
      <c r="E1" s="15" t="inlineStr">
        <is>
          <t>Cited by attributes</t>
        </is>
      </c>
    </row>
    <row r="2">
      <c r="A2" s="16" t="inlineStr">
        <is>
          <t>change-request.md</t>
        </is>
      </c>
      <c r="B2" s="16" t="inlineStr">
        <is>
          <t>markdown</t>
        </is>
      </c>
      <c r="C2" s="16" t="n">
        <v>1744</v>
      </c>
      <c r="D2" s="16" t="inlineStr">
        <is>
          <t>Text · 220 words, inlined verbatim into the judge prompt</t>
        </is>
      </c>
      <c r="E2" s="16" t="inlineStr">
        <is>
          <t>change-request-documented, change-request-documented, change-request-documented, change-request-documented, change-request-documented, authorised-approver-pre-deployment, authorised-approver-pre-deployment, pre-deployment-testing-evidence, pre-deployment-testing-evidence</t>
        </is>
      </c>
    </row>
    <row r="3">
      <c r="A3" s="16" t="inlineStr">
        <is>
          <t>deployment-log.txt</t>
        </is>
      </c>
      <c r="B3" s="16" t="inlineStr">
        <is>
          <t>text</t>
        </is>
      </c>
      <c r="C3" s="16" t="n">
        <v>1493</v>
      </c>
      <c r="D3" s="16" t="inlineStr">
        <is>
          <t>Text · 165 words, inlined verbatim into the judge prompt</t>
        </is>
      </c>
      <c r="E3" s="16" t="inlineStr">
        <is>
          <t>authorised-approver-pre-deployment, pre-deployment-testing-evidence</t>
        </is>
      </c>
    </row>
    <row r="4">
      <c r="A4" s="16" t="inlineStr">
        <is>
          <t>pre-deployment-test-results.xlsx</t>
        </is>
      </c>
      <c r="B4" s="16" t="inlineStr">
        <is>
          <t>xlsx</t>
        </is>
      </c>
      <c r="C4" s="16" t="n">
        <v>6264</v>
      </c>
      <c r="D4" s="16" t="inlineStr">
        <is>
          <t>Workbook · 2 sheet(s), 12 rows total. Sheets: Test Cases, Summary</t>
        </is>
      </c>
      <c r="E4" s="16" t="inlineStr">
        <is>
          <t>pre-deployment-testing-evidence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5" t="inlineStr">
        <is>
          <t>#</t>
        </is>
      </c>
      <c r="B1" s="15" t="inlineStr">
        <is>
          <t>Timestamp</t>
        </is>
      </c>
      <c r="C1" s="15" t="inlineStr">
        <is>
          <t>Purpose</t>
        </is>
      </c>
      <c r="D1" s="15" t="inlineStr">
        <is>
          <t>Model</t>
        </is>
      </c>
      <c r="E1" s="15" t="inlineStr">
        <is>
          <t>Input tokens</t>
        </is>
      </c>
      <c r="F1" s="15" t="inlineStr">
        <is>
          <t>Cache read</t>
        </is>
      </c>
      <c r="G1" s="15" t="inlineStr">
        <is>
          <t>Output tokens</t>
        </is>
      </c>
      <c r="H1" s="15" t="inlineStr">
        <is>
          <t>Cost USD</t>
        </is>
      </c>
      <c r="I1" s="15" t="inlineStr">
        <is>
          <t>Latency (ms)</t>
        </is>
      </c>
    </row>
    <row r="2">
      <c r="A2" s="16" t="n">
        <v>1</v>
      </c>
      <c r="B2" s="16" t="inlineStr">
        <is>
          <t>2026-07-03T03:40:38.512115Z</t>
        </is>
      </c>
      <c r="C2" s="16" t="inlineStr">
        <is>
          <t>judge:change-request-documented:sample-1</t>
        </is>
      </c>
      <c r="D2" s="16" t="inlineStr">
        <is>
          <t>claude-opus-4-7</t>
        </is>
      </c>
      <c r="E2" s="16" t="n">
        <v>12237</v>
      </c>
      <c r="F2" s="16" t="n">
        <v>0</v>
      </c>
      <c r="G2" s="16" t="n">
        <v>3945</v>
      </c>
      <c r="H2" s="19" t="n">
        <v>0.47943</v>
      </c>
      <c r="I2" s="16" t="n">
        <v>16903</v>
      </c>
    </row>
    <row r="3">
      <c r="A3" s="16" t="n">
        <v>2</v>
      </c>
      <c r="B3" s="16" t="inlineStr">
        <is>
          <t>2026-07-03T03:41:38.676590Z</t>
        </is>
      </c>
      <c r="C3" s="16" t="inlineStr">
        <is>
          <t>judge:authorised-approver-pre-deployment:sample-1</t>
        </is>
      </c>
      <c r="D3" s="16" t="inlineStr">
        <is>
          <t>claude-opus-4-7</t>
        </is>
      </c>
      <c r="E3" s="16" t="n">
        <v>12282</v>
      </c>
      <c r="F3" s="16" t="n">
        <v>0</v>
      </c>
      <c r="G3" s="16" t="n">
        <v>3635</v>
      </c>
      <c r="H3" s="19" t="n">
        <v>0.456855</v>
      </c>
      <c r="I3" s="16" t="n">
        <v>15711</v>
      </c>
    </row>
    <row r="4">
      <c r="A4" s="16" t="n">
        <v>3</v>
      </c>
      <c r="B4" s="16" t="inlineStr">
        <is>
          <t>2026-07-03T03:42:20.425037Z</t>
        </is>
      </c>
      <c r="C4" s="16" t="inlineStr">
        <is>
          <t>judge:pre-deployment-testing-evidence:sample-1</t>
        </is>
      </c>
      <c r="D4" s="16" t="inlineStr">
        <is>
          <t>claude-opus-4-7</t>
        </is>
      </c>
      <c r="E4" s="16" t="n">
        <v>12171</v>
      </c>
      <c r="F4" s="16" t="n">
        <v>0</v>
      </c>
      <c r="G4" s="16" t="n">
        <v>3288</v>
      </c>
      <c r="H4" s="19" t="n">
        <v>0.429165</v>
      </c>
      <c r="I4" s="16" t="n">
        <v>14789</v>
      </c>
    </row>
    <row r="5">
      <c r="A5" s="16" t="n">
        <v>4</v>
      </c>
      <c r="B5" s="16" t="inlineStr">
        <is>
          <t>2026-07-03T03:43:34.856033Z</t>
        </is>
      </c>
      <c r="C5" s="16" t="inlineStr">
        <is>
          <t>judge:change-request-documented:sample-2</t>
        </is>
      </c>
      <c r="D5" s="16" t="inlineStr">
        <is>
          <t>claude-opus-4-7</t>
        </is>
      </c>
      <c r="E5" s="16" t="n">
        <v>11808</v>
      </c>
      <c r="F5" s="16" t="n">
        <v>0</v>
      </c>
      <c r="G5" s="16" t="n">
        <v>3732</v>
      </c>
      <c r="H5" s="19" t="n">
        <v>0.45702</v>
      </c>
      <c r="I5" s="16" t="n">
        <v>16764</v>
      </c>
    </row>
    <row r="6">
      <c r="A6" s="16" t="n">
        <v>5</v>
      </c>
      <c r="B6" s="16" t="inlineStr">
        <is>
          <t>2026-07-03T03:44:17.557054Z</t>
        </is>
      </c>
      <c r="C6" s="16" t="inlineStr">
        <is>
          <t>judge:authorised-approver-pre-deployment:sample-2</t>
        </is>
      </c>
      <c r="D6" s="16" t="inlineStr">
        <is>
          <t>claude-opus-4-7</t>
        </is>
      </c>
      <c r="E6" s="16" t="n">
        <v>11853</v>
      </c>
      <c r="F6" s="16" t="n">
        <v>0</v>
      </c>
      <c r="G6" s="16" t="n">
        <v>3339</v>
      </c>
      <c r="H6" s="19" t="n">
        <v>0.42822</v>
      </c>
      <c r="I6" s="16" t="n">
        <v>16002</v>
      </c>
    </row>
    <row r="7">
      <c r="A7" s="16" t="n">
        <v>6</v>
      </c>
      <c r="B7" s="16" t="inlineStr">
        <is>
          <t>2026-07-03T03:49:13.305734Z</t>
        </is>
      </c>
      <c r="C7" s="16" t="inlineStr">
        <is>
          <t>judge:pre-deployment-testing-evidence:sample-2</t>
        </is>
      </c>
      <c r="D7" s="16" t="inlineStr">
        <is>
          <t>claude-opus-4-7</t>
        </is>
      </c>
      <c r="E7" s="16" t="n">
        <v>11742</v>
      </c>
      <c r="F7" s="16" t="n">
        <v>0</v>
      </c>
      <c r="G7" s="16" t="n">
        <v>3528</v>
      </c>
      <c r="H7" s="19" t="n">
        <v>0.44073</v>
      </c>
      <c r="I7" s="16" t="n">
        <v>264910</v>
      </c>
    </row>
    <row r="8">
      <c r="C8" s="20" t="inlineStr">
        <is>
          <t>TOTAL</t>
        </is>
      </c>
      <c r="E8" s="20">
        <f>SUM(E2:E7)</f>
        <v/>
      </c>
      <c r="F8" s="20">
        <f>SUM(F2:F7)</f>
        <v/>
      </c>
      <c r="G8" s="20">
        <f>SUM(G2:G7)</f>
        <v/>
      </c>
      <c r="H8" s="21">
        <f>SUM(H2:H7)</f>
        <v/>
      </c>
      <c r="I8" s="20">
        <f>SUM(I2:I7)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2026-07-03T03:56:10Z</dcterms:created>
  <dcterms:modified xsi:type="dcterms:W3CDTF">2026-07-03T03:56:10Z</dcterms:modified>
</cp:coreProperties>
</file>