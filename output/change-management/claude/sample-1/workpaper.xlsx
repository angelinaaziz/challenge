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ttribute Verdicts" sheetId="2" state="visible" r:id="rId2"/>
    <sheet name="Evidence Citations" sheetId="3" state="visible" r:id="rId3"/>
    <sheet name="Evidence Inventory" sheetId="4" state="visible" r:id="rId4"/>
    <sheet name="Decision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00"/>
  </numFmts>
  <fonts count="14">
    <font>
      <name val="Calibri"/>
      <family val="2"/>
      <color theme="1"/>
      <sz val="11"/>
      <scheme val="minor"/>
    </font>
    <font>
      <name val="SF Pro Display"/>
      <b val="1"/>
      <color rgb="00148F72"/>
      <sz val="8"/>
    </font>
    <font>
      <name val="SF Pro Display"/>
      <b val="1"/>
      <color rgb="000B362C"/>
      <sz val="22"/>
    </font>
    <font>
      <name val="SF Pro Text"/>
      <b val="1"/>
      <color rgb="000B362C"/>
      <sz val="9"/>
    </font>
    <font>
      <name val="SF Pro Text"/>
      <b val="1"/>
      <color rgb="00A17321"/>
      <sz val="16"/>
    </font>
    <font>
      <name val="SF Pro Text"/>
      <b val="1"/>
      <color rgb="006F6A5F"/>
      <sz val="9"/>
    </font>
    <font>
      <name val="SF Pro Text"/>
      <color rgb="000B362C"/>
      <sz val="10"/>
    </font>
    <font>
      <name val="SF Pro Text"/>
      <b val="1"/>
      <color rgb="00148F72"/>
      <sz val="9"/>
    </font>
    <font>
      <name val="SF Pro Text"/>
      <b val="1"/>
      <color rgb="00A17321"/>
      <sz val="9"/>
    </font>
    <font>
      <name val="SF Pro Text"/>
      <b val="1"/>
      <color rgb="00148F72"/>
      <sz val="10"/>
    </font>
    <font>
      <name val="SF Pro Text"/>
      <color rgb="006F6A5F"/>
      <sz val="9"/>
    </font>
    <font>
      <name val="SF Pro Text"/>
      <b val="1"/>
      <color rgb="000B362C"/>
      <sz val="10"/>
    </font>
    <font>
      <name val="SF Pro Text"/>
      <b val="1"/>
      <color rgb="00A17321"/>
      <sz val="10"/>
    </font>
    <font>
      <b val="1"/>
      <color rgb="000B362C"/>
    </font>
  </fonts>
  <fills count="5">
    <fill>
      <patternFill/>
    </fill>
    <fill>
      <patternFill patternType="gray125"/>
    </fill>
    <fill>
      <patternFill patternType="solid">
        <fgColor rgb="00F5EDD9"/>
      </patternFill>
    </fill>
    <fill>
      <patternFill patternType="solid">
        <fgColor rgb="00FAF8F3"/>
      </patternFill>
    </fill>
    <fill>
      <patternFill patternType="solid">
        <fgColor rgb="00E7F3EE"/>
      </patternFill>
    </fill>
  </fills>
  <borders count="6">
    <border>
      <left/>
      <right/>
      <top/>
      <bottom/>
      <diagonal/>
    </border>
    <border>
      <left style="thin">
        <color rgb="00D1CBBA"/>
      </left>
      <right style="thin">
        <color rgb="00D1CBBA"/>
      </right>
      <top style="thin">
        <color rgb="00D1CBBA"/>
      </top>
      <bottom style="thin">
        <color rgb="00D1CBBA"/>
      </bottom>
    </border>
    <border>
      <left/>
      <right/>
      <top style="thin">
        <color rgb="00D1CBBA"/>
      </top>
      <bottom/>
      <diagonal/>
    </border>
    <border>
      <left/>
      <right style="thin">
        <color rgb="00D1CBBA"/>
      </right>
      <top style="thin">
        <color rgb="00D1CBBA"/>
      </top>
      <bottom/>
      <diagonal/>
    </border>
    <border>
      <left/>
      <right/>
      <top style="thin">
        <color rgb="00D1CBBA"/>
      </top>
      <bottom style="thin">
        <color rgb="00D1CBBA"/>
      </bottom>
      <diagonal/>
    </border>
    <border>
      <left/>
      <right style="thin">
        <color rgb="00D1CBBA"/>
      </right>
      <top style="thin">
        <color rgb="00D1CBBA"/>
      </top>
      <bottom style="thin">
        <color rgb="00D1CBBA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1" fillId="4" borderId="1" applyAlignment="1" pivotButton="0" quotePrefix="0" xfId="0">
      <alignment vertical="center"/>
    </xf>
    <xf numFmtId="0" fontId="6" fillId="0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2" fillId="2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13" fillId="0" borderId="0" pivotButton="0" quotePrefix="0" xfId="0"/>
    <xf numFmtId="164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2" customWidth="1" min="3" max="3"/>
    <col width="22" customWidth="1" min="4" max="4"/>
  </cols>
  <sheetData>
    <row r="1">
      <c r="A1" s="1" t="inlineStr">
        <is>
          <t>Bead audit working paper</t>
        </is>
      </c>
    </row>
    <row r="2">
      <c r="A2" s="2" t="inlineStr">
        <is>
          <t>Change Management</t>
        </is>
      </c>
    </row>
    <row r="4">
      <c r="A4" s="3" t="inlineStr">
        <is>
          <t>Verdict</t>
        </is>
      </c>
      <c r="B4" s="4" t="inlineStr">
        <is>
          <t>CONTROL INCONCLUSIVE</t>
        </is>
      </c>
    </row>
    <row r="6">
      <c r="A6" s="5" t="inlineStr">
        <is>
          <t>Sample</t>
        </is>
      </c>
      <c r="B6" s="6" t="inlineStr">
        <is>
          <t>sample-1</t>
        </is>
      </c>
    </row>
    <row r="7">
      <c r="A7" s="5" t="inlineStr">
        <is>
          <t>Model</t>
        </is>
      </c>
      <c r="B7" s="6" t="inlineStr">
        <is>
          <t>claude:claude-opus-4-7</t>
        </is>
      </c>
    </row>
    <row r="8">
      <c r="A8" s="5" t="inlineStr">
        <is>
          <t>Generated</t>
        </is>
      </c>
      <c r="B8" s="6" t="inlineStr">
        <is>
          <t>03 Jul 2026, 03:13 UTC</t>
        </is>
      </c>
    </row>
    <row r="10">
      <c r="A10" s="7" t="inlineStr">
        <is>
          <t>Executive summary</t>
        </is>
      </c>
    </row>
    <row r="11" ht="60" customHeight="1">
      <c r="A11" s="8" t="inlineStr">
        <is>
          <t>The control cannot be signed off from this evidence bundle. 1 attribute(s) need further evidence, 2 passed, and none positively failed. Request the missing evidence and re-audit.</t>
        </is>
      </c>
    </row>
    <row r="13">
      <c r="A13" s="7" t="inlineStr">
        <is>
          <t>Key findings</t>
        </is>
      </c>
    </row>
    <row r="14">
      <c r="A14" s="9" t="inlineStr">
        <is>
          <t>WARN</t>
        </is>
      </c>
      <c r="B14" s="8" t="inlineStr">
        <is>
          <t>Insufficient evidence: Production changes are approved by an authorised change approver prior to deployment</t>
        </is>
      </c>
    </row>
    <row r="15">
      <c r="A15" s="7" t="inlineStr">
        <is>
          <t>PASS</t>
        </is>
      </c>
      <c r="B15" s="8" t="inlineStr">
        <is>
          <t>Every production change has a corresponding change request that documents scope, risk classification, and rollback plan</t>
        </is>
      </c>
    </row>
    <row r="16">
      <c r="A16" s="7" t="inlineStr">
        <is>
          <t>PASS</t>
        </is>
      </c>
      <c r="B16" s="8" t="inlineStr">
        <is>
          <t>Pre-deployment testing is completed and evidence retained before release</t>
        </is>
      </c>
    </row>
    <row r="18">
      <c r="A18" s="7" t="inlineStr">
        <is>
          <t>Recommended actions</t>
        </is>
      </c>
    </row>
    <row r="19" ht="30" customHeight="1">
      <c r="A19" s="10" t="inlineStr">
        <is>
          <t>1</t>
        </is>
      </c>
      <c r="B19" s="8" t="inlineStr">
        <is>
          <t>Provide additional evidence to close “Production changes are approved by an authorised change approver prior to deployment”. Specifically: The change request records approval by Priya Nadkarni (a different named human from requester Marcus Bell) at 2026-06-23 15:42 UTC, before the 2026-06-24 20:00 UTC deployment window, and cites CAB-2026-W25.</t>
        </is>
      </c>
    </row>
    <row r="21">
      <c r="A21" s="7" t="inlineStr">
        <is>
          <t>Reviewer sign-off</t>
        </is>
      </c>
    </row>
    <row r="22">
      <c r="A22" s="11" t="inlineStr">
        <is>
          <t>Decision (Accept / Rework / Reject)</t>
        </is>
      </c>
      <c r="B22" s="12" t="inlineStr"/>
      <c r="C22" s="13" t="n"/>
      <c r="D22" s="14" t="n"/>
    </row>
    <row r="23">
      <c r="A23" s="11" t="inlineStr">
        <is>
          <t>Reviewer name</t>
        </is>
      </c>
      <c r="B23" s="12" t="inlineStr"/>
      <c r="C23" s="13" t="n"/>
      <c r="D23" s="14" t="n"/>
    </row>
    <row r="24">
      <c r="A24" s="11" t="inlineStr">
        <is>
          <t>Reviewer role</t>
        </is>
      </c>
      <c r="B24" s="12" t="inlineStr"/>
      <c r="C24" s="13" t="n"/>
      <c r="D24" s="14" t="n"/>
    </row>
    <row r="25">
      <c r="A25" s="11" t="inlineStr">
        <is>
          <t>Date</t>
        </is>
      </c>
      <c r="B25" s="12" t="inlineStr"/>
      <c r="C25" s="13" t="n"/>
      <c r="D25" s="14" t="n"/>
    </row>
    <row r="26">
      <c r="A26" s="11" t="inlineStr">
        <is>
          <t>Comments</t>
        </is>
      </c>
      <c r="B26" s="12" t="inlineStr"/>
      <c r="C26" s="13" t="n"/>
      <c r="D26" s="14" t="n"/>
    </row>
  </sheetData>
  <mergeCells count="13">
    <mergeCell ref="A1:D1"/>
    <mergeCell ref="B19:D19"/>
    <mergeCell ref="B14:D14"/>
    <mergeCell ref="B23:D23"/>
    <mergeCell ref="B22:D22"/>
    <mergeCell ref="B4:D4"/>
    <mergeCell ref="B26:D26"/>
    <mergeCell ref="A2:D2"/>
    <mergeCell ref="A11:D11"/>
    <mergeCell ref="B15:D15"/>
    <mergeCell ref="B25:D25"/>
    <mergeCell ref="B24:D24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20" customWidth="1" min="2" max="2"/>
    <col width="12" customWidth="1" min="3" max="3"/>
    <col width="70" customWidth="1" min="4" max="4"/>
    <col width="12" customWidth="1" min="5" max="5"/>
    <col width="40" customWidth="1" min="6" max="6"/>
  </cols>
  <sheetData>
    <row r="1">
      <c r="A1" s="15" t="inlineStr">
        <is>
          <t>Attribute</t>
        </is>
      </c>
      <c r="B1" s="15" t="inlineStr">
        <is>
          <t>Verdict</t>
        </is>
      </c>
      <c r="C1" s="15" t="inlineStr">
        <is>
          <t>Confidence</t>
        </is>
      </c>
      <c r="D1" s="15" t="inlineStr">
        <is>
          <t>Rationale</t>
        </is>
      </c>
      <c r="E1" s="15" t="inlineStr">
        <is>
          <t>Citations</t>
        </is>
      </c>
      <c r="F1" s="15" t="inlineStr">
        <is>
          <t>Exceptions considered</t>
        </is>
      </c>
    </row>
    <row r="2" ht="80" customHeight="1">
      <c r="A2" s="16" t="inlineStr">
        <is>
          <t>Every production change has a corresponding change request that documents scope, risk classification, and rollback plan</t>
        </is>
      </c>
      <c r="B2" s="17" t="inlineStr">
        <is>
          <t>SUCCESS</t>
        </is>
      </c>
      <c r="C2" s="16" t="n">
        <v>0.97</v>
      </c>
      <c r="D2" s="16" t="inlineStr">
        <is>
          <t>The change request CHG-2026-0847 satisfies every testable criterion: identifier follows CHG-YYYY-NNNN format; scope enumerates affected systems (payments-primary RDS, payments-api) and repository (infra-terraform PR #2411); risk is classified Medium; a three-step rollback plan with RTO is documented; named requester (Marcus Bell) and approver (Priya Nadkarni) are given; planned start/end window is 2026-06-24 20:00–22:00 UTC; and the change is categorised as Normal. This attribute concerns documentation completeness only — approval validity/independence is judged separately.</t>
        </is>
      </c>
      <c r="E2" s="16" t="n">
        <v>6</v>
      </c>
      <c r="F2" s="16" t="inlineStr">
        <is>
          <t>Documentation-only exception rejected — this is a Postgres major version upgrade on a production cluster, not documentation.</t>
        </is>
      </c>
    </row>
    <row r="3" ht="80" customHeight="1">
      <c r="A3" s="16" t="inlineStr">
        <is>
          <t>Production changes are approved by an authorised change approver prior to deployment</t>
        </is>
      </c>
      <c r="B3" s="18" t="inlineStr">
        <is>
          <t>FURTHER_EVIDENCE_REQUIRED</t>
        </is>
      </c>
      <c r="C3" s="16" t="n">
        <v>0.7</v>
      </c>
      <c r="D3" s="16" t="inlineStr">
        <is>
          <t>The change request records approval by Priya Nadkarni (a different named human from requester Marcus Bell) at 2026-06-23 15:42 UTC, before the 2026-06-24 20:00 UTC deployment window, and cites CAB-2026-W25. However, this is a Normal change requiring 2 approvers (Change Coordinator + Change Approver from CAB); only one approver (the CAB Change Approver) is named — no Change Coordinator approval is evidenced. Additionally, the signed CAB minutes (`cab-minutes-w25.pdf`) and IdP role membership confirming Priya holds the Change Approver role are not included in this bundle. Providing the CAB minutes showing a second approver / Change Coordinator sign-off, and an IdP export confirming Priya's Change Approver role, would resolve to SUCCESS.</t>
        </is>
      </c>
      <c r="E3" s="16" t="n">
        <v>3</v>
      </c>
      <c r="F3" s="16" t="inlineStr">
        <is>
          <t>Documentation-only / dev-staging exception — rejected: this change modifies production payments-primary RDS and payments-api.
Emergency retrospective approval — not applicable: change is categorised Normal and approval is pre-deployment.</t>
        </is>
      </c>
    </row>
    <row r="4" ht="80" customHeight="1">
      <c r="A4" s="16" t="inlineStr">
        <is>
          <t>Pre-deployment testing is completed and evidence retained before release</t>
        </is>
      </c>
      <c r="B4" s="17" t="inlineStr">
        <is>
          <t>SUCCESS</t>
        </is>
      </c>
      <c r="C4" s="16" t="n">
        <v>0.9</v>
      </c>
      <c r="D4" s="16" t="inlineStr">
        <is>
          <t>Change is Normal category. A test plan and test results are attached via pre-deployment-test-results.xlsx, referenced in the change request. Test execution timestamps (2026-06-23 14:12–14:14) predate the deployment window start (2026-06-24 20:00 UTC). Functional smoke tests of the affected payments API surface (healthz, ledger insert/read, monotonic constraint, currency conversion) are present and all PASS, so the failed-test-blocks-deployment criterion is not triggered. Emergency criteria are N/A.</t>
        </is>
      </c>
      <c r="E4" s="16" t="n">
        <v>5</v>
      </c>
      <c r="F4" s="16" t="inlineStr">
        <is>
          <t>Emergency post-deployment testing clause: not applicable — change is Normal, not Emergency.
Documentation-only exception: not applicable — change involves Postgres major version upgrade and library bump.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0" customWidth="1" min="2" max="2"/>
    <col width="32" customWidth="1" min="3" max="3"/>
    <col width="70" customWidth="1" min="4" max="4"/>
  </cols>
  <sheetData>
    <row r="1">
      <c r="A1" s="15" t="inlineStr">
        <is>
          <t>Attribute</t>
        </is>
      </c>
      <c r="B1" s="15" t="inlineStr">
        <is>
          <t>File</t>
        </is>
      </c>
      <c r="C1" s="15" t="inlineStr">
        <is>
          <t>Locator</t>
        </is>
      </c>
      <c r="D1" s="15" t="inlineStr">
        <is>
          <t>Observation</t>
        </is>
      </c>
    </row>
    <row r="2">
      <c r="A2" s="16" t="inlineStr">
        <is>
          <t>Every production change has a corresponding change request that documents scope, risk classification, and rollback plan</t>
        </is>
      </c>
      <c r="B2" s="16" t="inlineStr">
        <is>
          <t>change-request.md</t>
        </is>
      </c>
      <c r="C2" s="16" t="inlineStr">
        <is>
          <t>Title line</t>
        </is>
      </c>
      <c r="D2" s="16" t="inlineStr">
        <is>
          <t>Identifier 'CHG-2026-0847' present, matching CHG-YYYY-NNNN format.</t>
        </is>
      </c>
    </row>
    <row r="3">
      <c r="A3" s="16" t="inlineStr">
        <is>
          <t>Every production change has a corresponding change request that documents scope, risk classification, and rollback plan</t>
        </is>
      </c>
      <c r="B3" s="16" t="inlineStr">
        <is>
          <t>change-request.md</t>
        </is>
      </c>
      <c r="C3" s="16" t="inlineStr">
        <is>
          <t>Header block (Category/Risk/Systems/Repositories/Planned window)</t>
        </is>
      </c>
      <c r="D3" s="16" t="inlineStr">
        <is>
          <t>Category: Normal; Risk: Medium; Systems affected: payments-primary (RDS), payments-api; Repositories touched: northpeak/infra-terraform PR #2411; Planned window: 2026-06-24 20:00 UTC → 22:00 UTC.</t>
        </is>
      </c>
    </row>
    <row r="4">
      <c r="A4" s="16" t="inlineStr">
        <is>
          <t>Every production change has a corresponding change request that documents scope, risk classification, and rollback plan</t>
        </is>
      </c>
      <c r="B4" s="16" t="inlineStr">
        <is>
          <t>change-request.md</t>
        </is>
      </c>
      <c r="C4" s="16" t="inlineStr">
        <is>
          <t>Scope section</t>
        </is>
      </c>
      <c r="D4" s="16" t="inlineStr">
        <is>
          <t>Enumerates Postgres 15.7→16.3 upgrade, pg library bump 8.11→8.13, no schema changes.</t>
        </is>
      </c>
    </row>
    <row r="5">
      <c r="A5" s="16" t="inlineStr">
        <is>
          <t>Every production change has a corresponding change request that documents scope, risk classification, and rollback plan</t>
        </is>
      </c>
      <c r="B5" s="16" t="inlineStr">
        <is>
          <t>change-request.md</t>
        </is>
      </c>
      <c r="C5" s="16" t="inlineStr">
        <is>
          <t>Rollback plan section</t>
        </is>
      </c>
      <c r="D5" s="16" t="inlineStr">
        <is>
          <t>Three-step rollback: PITR snapshot restore, redeploy pinned pg@8.11, verify via /healthz and canary. RTO 25 min, validated in staging drill 2026-06-19.</t>
        </is>
      </c>
    </row>
    <row r="6">
      <c r="A6" s="16" t="inlineStr">
        <is>
          <t>Every production change has a corresponding change request that documents scope, risk classification, and rollback plan</t>
        </is>
      </c>
      <c r="B6" s="16" t="inlineStr">
        <is>
          <t>change-request.md</t>
        </is>
      </c>
      <c r="C6" s="16" t="inlineStr">
        <is>
          <t>Requester section</t>
        </is>
      </c>
      <c r="D6" s="16" t="inlineStr">
        <is>
          <t>Named requester: Marcus Bell (Platform Engineer).</t>
        </is>
      </c>
    </row>
    <row r="7">
      <c r="A7" s="16" t="inlineStr">
        <is>
          <t>Every production change has a corresponding change request that documents scope, risk classification, and rollback plan</t>
        </is>
      </c>
      <c r="B7" s="16" t="inlineStr">
        <is>
          <t>change-request.md</t>
        </is>
      </c>
      <c r="C7" s="16" t="inlineStr">
        <is>
          <t>Approver section</t>
        </is>
      </c>
      <c r="D7" s="16" t="inlineStr">
        <is>
          <t>Named approver: Priya Nadkarni (Change Approver, CAB).</t>
        </is>
      </c>
    </row>
    <row r="8">
      <c r="A8" s="16" t="inlineStr">
        <is>
          <t>Production changes are approved by an authorised change approver prior to deployment</t>
        </is>
      </c>
      <c r="B8" s="16" t="inlineStr">
        <is>
          <t>change-request.md</t>
        </is>
      </c>
      <c r="C8" s="16" t="inlineStr">
        <is>
          <t>Category / Requester / Approver / Approval record sections</t>
        </is>
      </c>
      <c r="D8" s="16" t="inlineStr">
        <is>
          <t>Category = Normal; Requester = Marcus Bell; Approver = Priya Nadkarni (Change Approver, CAB); Approval timestamp 2026-06-23 15:42 UTC; CAB reference CAB-2026-W25; signed CAB minutes noted as not included in bundle.</t>
        </is>
      </c>
    </row>
    <row r="9">
      <c r="A9" s="16" t="inlineStr">
        <is>
          <t>Production changes are approved by an authorised change approver prior to deployment</t>
        </is>
      </c>
      <c r="B9" s="16" t="inlineStr">
        <is>
          <t>change-request.md</t>
        </is>
      </c>
      <c r="C9" s="16" t="inlineStr">
        <is>
          <t>Planned window</t>
        </is>
      </c>
      <c r="D9" s="16" t="inlineStr">
        <is>
          <t>Deployment window 2026-06-24 20:00 UTC → 22:00 UTC — approval timestamp precedes window opening by ~28 hours.</t>
        </is>
      </c>
    </row>
    <row r="10">
      <c r="A10" s="16" t="inlineStr">
        <is>
          <t>Production changes are approved by an authorised change approver prior to deployment</t>
        </is>
      </c>
      <c r="B10" s="16" t="inlineStr">
        <is>
          <t>deployment-log.txt</t>
        </is>
      </c>
      <c r="C10" s="16" t="inlineStr">
        <is>
          <t>line at 2026-06-24 20:00:15 UTC</t>
        </is>
      </c>
      <c r="D10" s="16" t="inlineStr">
        <is>
          <t>Runner verified 'approval OK — CHG-2026-0847 approved by priya.nadkarni at 2026-06-23T15:42:00Z (CAB-2026-W25)'; only a single approver identity referenced.</t>
        </is>
      </c>
    </row>
    <row r="11">
      <c r="A11" s="16" t="inlineStr">
        <is>
          <t>Pre-deployment testing is completed and evidence retained before release</t>
        </is>
      </c>
      <c r="B11" s="16" t="inlineStr">
        <is>
          <t>change-request.md</t>
        </is>
      </c>
      <c r="C11" s="16" t="inlineStr">
        <is>
          <t>Header — Category</t>
        </is>
      </c>
      <c r="D11" s="16" t="inlineStr">
        <is>
          <t>Change is classified as Normal, Risk Medium — invokes Standard/Normal testing criteria.</t>
        </is>
      </c>
    </row>
    <row r="12">
      <c r="A12" s="16" t="inlineStr">
        <is>
          <t>Pre-deployment testing is completed and evidence retained before release</t>
        </is>
      </c>
      <c r="B12" s="16" t="inlineStr">
        <is>
          <t>change-request.md</t>
        </is>
      </c>
      <c r="C12" s="16" t="inlineStr">
        <is>
          <t>Testing evidence section</t>
        </is>
      </c>
      <c r="D12" s="16" t="inlineStr">
        <is>
          <t>References pre-deployment-test-results.xlsx with 42 test cases including 12 functional smoke, 24 regression, 6 rollback validation — all pass on staging.</t>
        </is>
      </c>
    </row>
    <row r="13">
      <c r="A13" s="16" t="inlineStr">
        <is>
          <t>Pre-deployment testing is completed and evidence retained before release</t>
        </is>
      </c>
      <c r="B13" s="16" t="inlineStr">
        <is>
          <t>pre-deployment-test-results.xlsx</t>
        </is>
      </c>
      <c r="C13" s="16" t="inlineStr">
        <is>
          <t>Test Cases!A1:F13</t>
        </is>
      </c>
      <c r="D13" s="16" t="inlineStr">
        <is>
          <t>12 test rows with Test ID, Category=Functional, Description, Result=PASS, Executed By, Executed At. Sample rows TC-001..TC-005 cover payments API /healthz, ledger insert/read, transaction id monotonic constraint, and currency-conversion — functional smoke of affected surfaces.</t>
        </is>
      </c>
    </row>
    <row r="14">
      <c r="A14" s="16" t="inlineStr">
        <is>
          <t>Pre-deployment testing is completed and evidence retained before release</t>
        </is>
      </c>
      <c r="B14" s="16" t="inlineStr">
        <is>
          <t>pre-deployment-test-results.xlsx</t>
        </is>
      </c>
      <c r="C14" s="16" t="inlineStr">
        <is>
          <t>Test Cases!F2:F6 (Executed At)</t>
        </is>
      </c>
      <c r="D14" s="16" t="inlineStr">
        <is>
          <t>Test execution timestamps 2026-06-23 14:12–14:14 UTC, which predate the deployment window start of 2026-06-24 20:00 UTC.</t>
        </is>
      </c>
    </row>
    <row r="15">
      <c r="A15" s="16" t="inlineStr">
        <is>
          <t>Pre-deployment testing is completed and evidence retained before release</t>
        </is>
      </c>
      <c r="B15" s="16" t="inlineStr">
        <is>
          <t>deployment-log.txt</t>
        </is>
      </c>
      <c r="C15" s="16" t="inlineStr">
        <is>
          <t>window start line</t>
        </is>
      </c>
      <c r="D15" s="16" t="inlineStr">
        <is>
          <t>Deployment window began 2026-06-24 20:00:02 UTC — confirms tests (2026-06-23) predate deployment.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4" customWidth="1" min="2" max="2"/>
    <col width="14" customWidth="1" min="3" max="3"/>
    <col width="55" customWidth="1" min="4" max="4"/>
    <col width="40" customWidth="1" min="5" max="5"/>
  </cols>
  <sheetData>
    <row r="1">
      <c r="A1" s="15" t="inlineStr">
        <is>
          <t>File</t>
        </is>
      </c>
      <c r="B1" s="15" t="inlineStr">
        <is>
          <t>Type</t>
        </is>
      </c>
      <c r="C1" s="15" t="inlineStr">
        <is>
          <t>Size (bytes)</t>
        </is>
      </c>
      <c r="D1" s="15" t="inlineStr">
        <is>
          <t>Extraction summary</t>
        </is>
      </c>
      <c r="E1" s="15" t="inlineStr">
        <is>
          <t>Cited by attributes</t>
        </is>
      </c>
    </row>
    <row r="2">
      <c r="A2" s="16" t="inlineStr">
        <is>
          <t>change-request.md</t>
        </is>
      </c>
      <c r="B2" s="16" t="inlineStr">
        <is>
          <t>markdown</t>
        </is>
      </c>
      <c r="C2" s="16" t="n">
        <v>1744</v>
      </c>
      <c r="D2" s="16" t="inlineStr">
        <is>
          <t>Text · 220 words, inlined verbatim into the judge prompt</t>
        </is>
      </c>
      <c r="E2" s="16" t="inlineStr">
        <is>
          <t>change-request-documents-scope-risk-rollback, change-request-documents-scope-risk-rollback, change-request-documents-scope-risk-rollback, change-request-documents-scope-risk-rollback, change-request-documents-scope-risk-rollback, change-request-documents-scope-risk-rollback, authorised-approver-prior-to-deployment, authorised-approver-prior-to-deployment, pre-deployment-testing-evidence-retained, pre-deployment-testing-evidence-retained</t>
        </is>
      </c>
    </row>
    <row r="3">
      <c r="A3" s="16" t="inlineStr">
        <is>
          <t>deployment-log.txt</t>
        </is>
      </c>
      <c r="B3" s="16" t="inlineStr">
        <is>
          <t>text</t>
        </is>
      </c>
      <c r="C3" s="16" t="n">
        <v>1493</v>
      </c>
      <c r="D3" s="16" t="inlineStr">
        <is>
          <t>Text · 165 words, inlined verbatim into the judge prompt</t>
        </is>
      </c>
      <c r="E3" s="16" t="inlineStr">
        <is>
          <t>authorised-approver-prior-to-deployment, pre-deployment-testing-evidence-retained</t>
        </is>
      </c>
    </row>
    <row r="4">
      <c r="A4" s="16" t="inlineStr">
        <is>
          <t>pre-deployment-test-results.xlsx</t>
        </is>
      </c>
      <c r="B4" s="16" t="inlineStr">
        <is>
          <t>xlsx</t>
        </is>
      </c>
      <c r="C4" s="16" t="n">
        <v>6264</v>
      </c>
      <c r="D4" s="16" t="inlineStr">
        <is>
          <t>Workbook · 2 sheet(s), 12 rows total. Sheets: Test Cases, Summary</t>
        </is>
      </c>
      <c r="E4" s="16" t="inlineStr">
        <is>
          <t>pre-deployment-testing-evidence-retained, pre-deployment-testing-evidence-retained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55" customWidth="1" min="3" max="3"/>
    <col width="24" customWidth="1" min="4" max="4"/>
    <col width="14" customWidth="1" min="5" max="5"/>
    <col width="14" customWidth="1" min="6" max="6"/>
    <col width="14" customWidth="1" min="7" max="7"/>
    <col width="12" customWidth="1" min="8" max="8"/>
    <col width="14" customWidth="1" min="9" max="9"/>
  </cols>
  <sheetData>
    <row r="1">
      <c r="A1" s="15" t="inlineStr">
        <is>
          <t>#</t>
        </is>
      </c>
      <c r="B1" s="15" t="inlineStr">
        <is>
          <t>Timestamp</t>
        </is>
      </c>
      <c r="C1" s="15" t="inlineStr">
        <is>
          <t>Purpose</t>
        </is>
      </c>
      <c r="D1" s="15" t="inlineStr">
        <is>
          <t>Model</t>
        </is>
      </c>
      <c r="E1" s="15" t="inlineStr">
        <is>
          <t>Input tokens</t>
        </is>
      </c>
      <c r="F1" s="15" t="inlineStr">
        <is>
          <t>Cache read</t>
        </is>
      </c>
      <c r="G1" s="15" t="inlineStr">
        <is>
          <t>Output tokens</t>
        </is>
      </c>
      <c r="H1" s="15" t="inlineStr">
        <is>
          <t>Cost USD</t>
        </is>
      </c>
      <c r="I1" s="15" t="inlineStr">
        <is>
          <t>Latency (ms)</t>
        </is>
      </c>
    </row>
    <row r="2">
      <c r="A2" s="16" t="n">
        <v>1</v>
      </c>
      <c r="B2" s="16" t="inlineStr">
        <is>
          <t>2026-07-03T03:12:58.357525Z</t>
        </is>
      </c>
      <c r="C2" s="16" t="inlineStr">
        <is>
          <t>judge:change-request-documents-scope-risk-rollback:sample-1</t>
        </is>
      </c>
      <c r="D2" s="16" t="inlineStr">
        <is>
          <t>claude-opus-4-7</t>
        </is>
      </c>
      <c r="E2" s="16" t="n">
        <v>4031</v>
      </c>
      <c r="F2" s="16" t="n">
        <v>2638</v>
      </c>
      <c r="G2" s="16" t="n">
        <v>1200</v>
      </c>
      <c r="H2" s="19" t="n">
        <v>0.114852</v>
      </c>
      <c r="I2" s="16" t="n">
        <v>14479</v>
      </c>
    </row>
    <row r="3">
      <c r="A3" s="16" t="n">
        <v>2</v>
      </c>
      <c r="B3" s="16" t="inlineStr">
        <is>
          <t>2026-07-03T03:13:13.294464Z</t>
        </is>
      </c>
      <c r="C3" s="16" t="inlineStr">
        <is>
          <t>judge:authorised-approver-prior-to-deployment:sample-1</t>
        </is>
      </c>
      <c r="D3" s="16" t="inlineStr">
        <is>
          <t>claude-opus-4-7</t>
        </is>
      </c>
      <c r="E3" s="16" t="n">
        <v>4107</v>
      </c>
      <c r="F3" s="16" t="n">
        <v>2638</v>
      </c>
      <c r="G3" s="16" t="n">
        <v>1180</v>
      </c>
      <c r="H3" s="19" t="n">
        <v>0.114492</v>
      </c>
      <c r="I3" s="16" t="n">
        <v>14933</v>
      </c>
    </row>
    <row r="4">
      <c r="A4" s="16" t="n">
        <v>3</v>
      </c>
      <c r="B4" s="16" t="inlineStr">
        <is>
          <t>2026-07-03T03:13:27.897046Z</t>
        </is>
      </c>
      <c r="C4" s="16" t="inlineStr">
        <is>
          <t>judge:pre-deployment-testing-evidence-retained:sample-1</t>
        </is>
      </c>
      <c r="D4" s="16" t="inlineStr">
        <is>
          <t>claude-opus-4-7</t>
        </is>
      </c>
      <c r="E4" s="16" t="n">
        <v>4077</v>
      </c>
      <c r="F4" s="16" t="n">
        <v>2638</v>
      </c>
      <c r="G4" s="16" t="n">
        <v>1221</v>
      </c>
      <c r="H4" s="19" t="n">
        <v>0.117117</v>
      </c>
      <c r="I4" s="16" t="n">
        <v>14599</v>
      </c>
    </row>
    <row r="5">
      <c r="A5" s="16" t="n">
        <v>4</v>
      </c>
      <c r="B5" s="16" t="inlineStr">
        <is>
          <t>2026-07-03T03:13:41.440103Z</t>
        </is>
      </c>
      <c r="C5" s="16" t="inlineStr">
        <is>
          <t>judge:change-request-documents-scope-risk-rollback:sample-2</t>
        </is>
      </c>
      <c r="D5" s="16" t="inlineStr">
        <is>
          <t>claude-opus-4-7</t>
        </is>
      </c>
      <c r="E5" s="16" t="n">
        <v>3888</v>
      </c>
      <c r="F5" s="16" t="n">
        <v>2638</v>
      </c>
      <c r="G5" s="16" t="n">
        <v>1121</v>
      </c>
      <c r="H5" s="19" t="n">
        <v>0.106782</v>
      </c>
      <c r="I5" s="16" t="n">
        <v>13531</v>
      </c>
    </row>
    <row r="6">
      <c r="A6" s="16" t="n">
        <v>5</v>
      </c>
      <c r="B6" s="16" t="inlineStr">
        <is>
          <t>2026-07-03T03:13:55.701453Z</t>
        </is>
      </c>
      <c r="C6" s="16" t="inlineStr">
        <is>
          <t>judge:authorised-approver-prior-to-deployment:sample-2</t>
        </is>
      </c>
      <c r="D6" s="16" t="inlineStr">
        <is>
          <t>claude-opus-4-7</t>
        </is>
      </c>
      <c r="E6" s="16" t="n">
        <v>3964</v>
      </c>
      <c r="F6" s="16" t="n">
        <v>2638</v>
      </c>
      <c r="G6" s="16" t="n">
        <v>1057</v>
      </c>
      <c r="H6" s="19" t="n">
        <v>0.103122</v>
      </c>
      <c r="I6" s="16" t="n">
        <v>14259</v>
      </c>
    </row>
    <row r="7">
      <c r="A7" s="16" t="n">
        <v>6</v>
      </c>
      <c r="B7" s="16" t="inlineStr">
        <is>
          <t>2026-07-03T03:14:09.625203Z</t>
        </is>
      </c>
      <c r="C7" s="16" t="inlineStr">
        <is>
          <t>judge:pre-deployment-testing-evidence-retained:sample-2</t>
        </is>
      </c>
      <c r="D7" s="16" t="inlineStr">
        <is>
          <t>claude-opus-4-7</t>
        </is>
      </c>
      <c r="E7" s="16" t="n">
        <v>3934</v>
      </c>
      <c r="F7" s="16" t="n">
        <v>2638</v>
      </c>
      <c r="G7" s="16" t="n">
        <v>1141</v>
      </c>
      <c r="H7" s="19" t="n">
        <v>0.108972</v>
      </c>
      <c r="I7" s="16" t="n">
        <v>13920</v>
      </c>
    </row>
    <row r="8">
      <c r="C8" s="20" t="inlineStr">
        <is>
          <t>TOTAL</t>
        </is>
      </c>
      <c r="E8" s="20">
        <f>SUM(E2:E7)</f>
        <v/>
      </c>
      <c r="F8" s="20">
        <f>SUM(F2:F7)</f>
        <v/>
      </c>
      <c r="G8" s="20">
        <f>SUM(G2:G7)</f>
        <v/>
      </c>
      <c r="H8" s="21">
        <f>SUM(H2:H7)</f>
        <v/>
      </c>
      <c r="I8" s="20">
        <f>SUM(I2:I7)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2026-07-03T03:22:01Z</dcterms:created>
  <dcterms:modified xsi:type="dcterms:W3CDTF">2026-07-03T03:22:01Z</dcterms:modified>
</cp:coreProperties>
</file>