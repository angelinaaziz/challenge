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B83A2E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B83A2E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B83A2E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4E1DF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FAIL</t>
        </is>
      </c>
    </row>
    <row r="6">
      <c r="A6" s="5" t="inlineStr">
        <is>
          <t>Sample</t>
        </is>
      </c>
      <c r="B6" s="6" t="inlineStr">
        <is>
          <t>sample-2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03:14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failed. 2 of 3 attribute(s) were positively contradicted by the evidence. The auditee has open remediation to complete before this control can be signed off.</t>
        </is>
      </c>
    </row>
    <row r="13">
      <c r="A13" s="7" t="inlineStr">
        <is>
          <t>Key findings</t>
        </is>
      </c>
    </row>
    <row r="14">
      <c r="A14" s="9" t="inlineStr">
        <is>
          <t>FAIL</t>
        </is>
      </c>
      <c r="B14" s="8" t="inlineStr">
        <is>
          <t>Production changes are approved by an authorised change approver prior to deployment</t>
        </is>
      </c>
    </row>
    <row r="15">
      <c r="A15" s="9" t="inlineStr">
        <is>
          <t>FAIL</t>
        </is>
      </c>
      <c r="B15" s="8" t="inlineStr">
        <is>
          <t>Pre-deployment testing is completed and evidence retained before release</t>
        </is>
      </c>
    </row>
    <row r="16">
      <c r="A16" s="7" t="inlineStr">
        <is>
          <t>PASS</t>
        </is>
      </c>
      <c r="B16" s="8" t="inlineStr">
        <is>
          <t>Every production change has a corresponding change request that documents scope, risk classification, and rollback plan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Remediate the root cause of the FAIL on “Production changes are approved by an authorised change approver prior to deployment”, then re-submit for testing. Rationale: The change is self-approved: requester and approver are both Marcus Bell, violating the four-eyes principle.</t>
        </is>
      </c>
    </row>
    <row r="20" ht="30" customHeight="1">
      <c r="A20" s="10" t="inlineStr">
        <is>
          <t>2</t>
        </is>
      </c>
      <c r="B20" s="8" t="inlineStr">
        <is>
          <t>Remediate the root cause of the FAIL on “Pre-deployment testing is completed and evidence retained before release”, then re-submit for testing. Rationale: This is a Normal change with failed pre-deployment tests, yet deployment proceeded.</t>
        </is>
      </c>
    </row>
    <row r="22">
      <c r="A22" s="7" t="inlineStr">
        <is>
          <t>Reviewer sign-off</t>
        </is>
      </c>
    </row>
    <row r="23">
      <c r="A23" s="11" t="inlineStr">
        <is>
          <t>Decision (Accept / Rework / Reject)</t>
        </is>
      </c>
      <c r="B23" s="12" t="inlineStr"/>
      <c r="C23" s="13" t="n"/>
      <c r="D23" s="14" t="n"/>
    </row>
    <row r="24">
      <c r="A24" s="11" t="inlineStr">
        <is>
          <t>Reviewer name</t>
        </is>
      </c>
      <c r="B24" s="12" t="inlineStr"/>
      <c r="C24" s="13" t="n"/>
      <c r="D24" s="14" t="n"/>
    </row>
    <row r="25">
      <c r="A25" s="11" t="inlineStr">
        <is>
          <t>Reviewer role</t>
        </is>
      </c>
      <c r="B25" s="12" t="inlineStr"/>
      <c r="C25" s="13" t="n"/>
      <c r="D25" s="14" t="n"/>
    </row>
    <row r="26">
      <c r="A26" s="11" t="inlineStr">
        <is>
          <t>Date</t>
        </is>
      </c>
      <c r="B26" s="12" t="inlineStr"/>
      <c r="C26" s="13" t="n"/>
      <c r="D26" s="14" t="n"/>
    </row>
    <row r="27">
      <c r="A27" s="11" t="inlineStr">
        <is>
          <t>Comments</t>
        </is>
      </c>
      <c r="B27" s="12" t="inlineStr"/>
      <c r="C27" s="13" t="n"/>
      <c r="D27" s="14" t="n"/>
    </row>
  </sheetData>
  <mergeCells count="14">
    <mergeCell ref="A1:D1"/>
    <mergeCell ref="B19:D19"/>
    <mergeCell ref="B14:D14"/>
    <mergeCell ref="B23:D23"/>
    <mergeCell ref="B4:D4"/>
    <mergeCell ref="B26:D26"/>
    <mergeCell ref="B27:D27"/>
    <mergeCell ref="A2:D2"/>
    <mergeCell ref="A11:D11"/>
    <mergeCell ref="B15:D15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0.95</v>
      </c>
      <c r="D2" s="16" t="inlineStr">
        <is>
          <t>The change request exists with identifier CHG-2026-0912 (correct format), documents scope (systems, repositories, config surfaces), risk classification (Medium), a rollback plan with steps and RTO, a named requester and named approver, a planned window (2026-06-28 15:00–17:00 UTC), and categorises the change as Normal. All documentation-completeness criteria for this attribute are met. Note: the requester and approver being the same person is a separate approval/independence attribute and is not judged here.</t>
        </is>
      </c>
      <c r="E2" s="16" t="n">
        <v>5</v>
      </c>
      <c r="F2" s="16" t="inlineStr">
        <is>
          <t>Documentation-only change exception — rejected: this deploys a new production service and RDS instance, not documentation.
Dev/staging exception — rejected: deployment targets production per deployment-log.txt.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FAIL</t>
        </is>
      </c>
      <c r="C3" s="16" t="n">
        <v>0.99</v>
      </c>
      <c r="D3" s="16" t="inlineStr">
        <is>
          <t>The change is self-approved: requester and approver are both Marcus Bell, violating the four-eyes principle. Additionally, this is a Normal change which requires 2 approvers (Change Coordinator + CAB Approver) with CAB review evidenced — the record explicitly states CAB was skipped and only a retroactive CAB was scheduled. Retrospective approval is only valid for Emergency changes, but this change is documented as Normal.</t>
        </is>
      </c>
      <c r="E3" s="16" t="n">
        <v>4</v>
      </c>
      <c r="F3" s="16" t="inlineStr">
        <is>
          <t>Considered whether a 'standing team autonomy waiver' could substitute for CAB approval — rejected, no such exception exists in the Change Management Policy.
Considered whether retrospective CAB could cure the deficiency — rejected because retrospective approvals per policy are only valid for Emergency changes, and this is documented as Normal.</t>
        </is>
      </c>
    </row>
    <row r="4" ht="80" customHeight="1">
      <c r="A4" s="16" t="inlineStr">
        <is>
          <t>Pre-deployment testing is completed and evidence retained before release</t>
        </is>
      </c>
      <c r="B4" s="18" t="inlineStr">
        <is>
          <t>FAIL</t>
        </is>
      </c>
      <c r="C4" s="16" t="n">
        <v>0.98</v>
      </c>
      <c r="D4" s="16" t="inlineStr">
        <is>
          <t>This is a Normal change with failed pre-deployment tests, yet deployment proceeded. Test Cases sheet shows TC-002 (Functional) and TC-004 (Regression) with Result=FAIL on 2026-06-28 09:02–09:06, and the change request itself acknowledges "3 test cases failed on staging... Deployment proceeded pending post-deployment fix". The deployment log confirms deployment completed at 15:31:02 UTC with status DEPLOYED. Per policy, "Failed tests block deployment for Standard/Normal changes" — this criterion is directly violated.</t>
        </is>
      </c>
      <c r="E4" s="16" t="n">
        <v>5</v>
      </c>
      <c r="F4" s="16" t="inlineStr">
        <is>
          <t>Emergency post-deployment testing allowance — rejected because the change request explicitly classifies this as Normal, not Emergency.
Documentation-only exception — rejected; this deploys new services and infrastructure.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Change request identifier 'CHG-2026-0912' matches CHG-YYYY-NNNN format.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(Category, Risk, System(s) affected, Repositories touched, Planned window)</t>
        </is>
      </c>
      <c r="D3" s="16" t="inlineStr">
        <is>
          <t>Category: Normal; Risk: Medium; systems reports-api/reports-worker/reports-db listed; repositories northpeak/reports-service PR #47 and northpeak/infra-terraform PR #2438 listed; planned window 2026-06-28 15:00 UTC → 17:00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Documents scope: deploy reporting service, provision RDS, configure IAM roles and API gateway routes (config surfaces).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Three-step rollback plan with timings and 5-minute RTO documented.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and Approver sections</t>
        </is>
      </c>
      <c r="D6" s="16" t="inlineStr">
        <is>
          <t>Named requester Marcus Bell and named approver Marcus Bell are both documented (independence is a separate attribute).</t>
        </is>
      </c>
    </row>
    <row r="7">
      <c r="A7" s="16" t="inlineStr">
        <is>
          <t>Production changes are approved by an authorised change approver prior to deployment</t>
        </is>
      </c>
      <c r="B7" s="16" t="inlineStr">
        <is>
          <t>change-request.md</t>
        </is>
      </c>
      <c r="C7" s="16" t="inlineStr">
        <is>
          <t>Requester and Approver sections</t>
        </is>
      </c>
      <c r="D7" s="16" t="inlineStr">
        <is>
          <t>Both Requester and Approver are listed as 'Marcus Bell (Platform Engineer) — marcus.bell@northpeakfinancial.com' — same human.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header</t>
        </is>
      </c>
      <c r="D8" s="16" t="inlineStr">
        <is>
          <t>Category is 'Normal' with Risk 'Medium'.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Approval record section</t>
        </is>
      </c>
      <c r="D9" s="16" t="inlineStr">
        <is>
          <t>'CAB meeting reference: (none — deployed under standing team autonomy waiver)', 'Approval decision: Self-approved', note states CAB skipped and retroactive CAB scheduled for 2026-07-02.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deployment-log.txt</t>
        </is>
      </c>
      <c r="C10" s="16" t="inlineStr">
        <is>
          <t>approval verification line at 15:04:20 UTC</t>
        </is>
      </c>
      <c r="D10" s="16" t="inlineStr">
        <is>
          <t>Log records 'approved by marcus.bell at 2026-06-28T14:47:00Z (self-approved)' confirming self-approval was accepted by the deployment runner.</t>
        </is>
      </c>
    </row>
    <row r="11">
      <c r="A11" s="16" t="inlineStr">
        <is>
          <t>Pre-deployment testing is completed and evidence retained before release</t>
        </is>
      </c>
      <c r="B11" s="16" t="inlineStr">
        <is>
          <t>change-request.md</t>
        </is>
      </c>
      <c r="C11" s="16" t="inlineStr">
        <is>
          <t>Header — Category</t>
        </is>
      </c>
      <c r="D11" s="16" t="inlineStr">
        <is>
          <t>Change is classified Category: Normal, Risk: Medium.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pre-deployment-test-results.xlsx</t>
        </is>
      </c>
      <c r="C12" s="16" t="inlineStr">
        <is>
          <t>Test Cases!D3 (TC-002 Result)</t>
        </is>
      </c>
      <c r="D12" s="16" t="inlineStr">
        <is>
          <t>TC-002 functional test 'reports service returns Q2 aggregate correctly' Result = FAIL, executed 2026-06-28 09:03.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pre-deployment-test-results.xlsx</t>
        </is>
      </c>
      <c r="C13" s="16" t="inlineStr">
        <is>
          <t>Test Cases!D5 (TC-004 Result)</t>
        </is>
      </c>
      <c r="D13" s="16" t="inlineStr">
        <is>
          <t>TC-004 regression test 'legacy report export CSV columns unchanged' Result = FAIL, executed 2026-06-28 09:05.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change-request.md</t>
        </is>
      </c>
      <c r="C14" s="16" t="inlineStr">
        <is>
          <t>Testing evidence section</t>
        </is>
      </c>
      <c r="D14" s="16" t="inlineStr">
        <is>
          <t>Requester notes: '3 test cases failed on staging (2 functional, 1 performance). Deployment proceeded pending post-deployment fix.'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deployment-log.txt</t>
        </is>
      </c>
      <c r="C15" s="16" t="inlineStr">
        <is>
          <t>Final line — status</t>
        </is>
      </c>
      <c r="D15" s="16" t="inlineStr">
        <is>
          <t>Deployment completed 2026-06-28 15:31:02 UTC — 'status: DEPLOYED (with known post-deploy defects to be fixed 2026-06-29)', confirming release proceeded despite failed tests.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1529</v>
      </c>
      <c r="D2" s="16" t="inlineStr">
        <is>
          <t>Text · 202 words, inlined verbatim into the judge prompt</t>
        </is>
      </c>
      <c r="E2" s="16" t="inlineStr">
        <is>
          <t>change-request-documents-scope-risk-rollback, change-request-documents-scope-risk-rollback, change-request-documents-scope-risk-rollback, change-request-documents-scope-risk-rollback, change-request-documents-scope-risk-rollback, authorised-approver-prior-to-deployment, authorised-approver-prior-to-deployment, authorised-approver-prior-to-deployment, pre-deployment-testing-evidence-retained, pre-deployment-testing-evidence-retained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1450</v>
      </c>
      <c r="D3" s="16" t="inlineStr">
        <is>
          <t>Text · 162 words, inlined verbatim into the judge prompt</t>
        </is>
      </c>
      <c r="E3" s="16" t="inlineStr">
        <is>
          <t>authorised-approver-prior-to-deployment, pre-deployment-testing-evidence-retained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5996</v>
      </c>
      <c r="D4" s="16" t="inlineStr">
        <is>
          <t>Workbook · 2 sheet(s), 7 rows total. Sheets: Test Cases, Summary</t>
        </is>
      </c>
      <c r="E4" s="16" t="inlineStr">
        <is>
          <t>pre-deployment-testing-evidence-retained, pre-deployment-testing-evidence-retained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2026-07-03T03:34:53.966142Z</t>
        </is>
      </c>
      <c r="C2" s="16" t="inlineStr">
        <is>
          <t>judge:change-request-documents-scope-risk-rollback:sample-1</t>
        </is>
      </c>
      <c r="D2" s="16" t="inlineStr">
        <is>
          <t>claude-opus-4-7</t>
        </is>
      </c>
      <c r="E2" s="16" t="n">
        <v>12210</v>
      </c>
      <c r="F2" s="16" t="n">
        <v>0</v>
      </c>
      <c r="G2" s="16" t="n">
        <v>4050</v>
      </c>
      <c r="H2" s="19" t="n">
        <v>0.4869</v>
      </c>
      <c r="I2" s="16" t="n">
        <v>16818</v>
      </c>
    </row>
    <row r="3">
      <c r="A3" s="16" t="n">
        <v>2</v>
      </c>
      <c r="B3" s="16" t="inlineStr">
        <is>
          <t>2026-07-03T03:35:39.656943Z</t>
        </is>
      </c>
      <c r="C3" s="16" t="inlineStr">
        <is>
          <t>judge:approved-by-authorised-approver-pre-deployment:sample-1</t>
        </is>
      </c>
      <c r="D3" s="16" t="inlineStr">
        <is>
          <t>claude-opus-4-7</t>
        </is>
      </c>
      <c r="E3" s="16" t="n">
        <v>12426</v>
      </c>
      <c r="F3" s="16" t="n">
        <v>0</v>
      </c>
      <c r="G3" s="16" t="n">
        <v>3666</v>
      </c>
      <c r="H3" s="19" t="n">
        <v>0.46134</v>
      </c>
      <c r="I3" s="16" t="n">
        <v>15463</v>
      </c>
    </row>
    <row r="4">
      <c r="C4" s="20" t="inlineStr">
        <is>
          <t>TOTAL</t>
        </is>
      </c>
      <c r="E4" s="20">
        <f>SUM(E2:E3)</f>
        <v/>
      </c>
      <c r="F4" s="20">
        <f>SUM(F2:F3)</f>
        <v/>
      </c>
      <c r="G4" s="20">
        <f>SUM(G2:G3)</f>
        <v/>
      </c>
      <c r="H4" s="21">
        <f>SUM(H2:H3)</f>
        <v/>
      </c>
      <c r="I4" s="20">
        <f>SUM(I2:I3)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2026-07-03T03:36:16Z</dcterms:created>
  <dcterms:modified xsi:type="dcterms:W3CDTF">2026-07-03T03:36:16Z</dcterms:modified>
</cp:coreProperties>
</file>