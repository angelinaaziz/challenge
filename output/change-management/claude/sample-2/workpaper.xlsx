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ttribute Verdicts" sheetId="2" state="visible" r:id="rId2"/>
    <sheet name="Evidence Citations" sheetId="3" state="visible" r:id="rId3"/>
    <sheet name="Evidence Inventory" sheetId="4" state="visible" r:id="rId4"/>
    <sheet name="Decis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00"/>
  </numFmts>
  <fonts count="14">
    <font>
      <name val="Calibri"/>
      <family val="2"/>
      <color theme="1"/>
      <sz val="11"/>
      <scheme val="minor"/>
    </font>
    <font>
      <name val="SF Pro Display"/>
      <b val="1"/>
      <color rgb="00148F72"/>
      <sz val="8"/>
    </font>
    <font>
      <name val="SF Pro Display"/>
      <b val="1"/>
      <color rgb="000B362C"/>
      <sz val="22"/>
    </font>
    <font>
      <name val="SF Pro Text"/>
      <b val="1"/>
      <color rgb="000B362C"/>
      <sz val="9"/>
    </font>
    <font>
      <name val="SF Pro Text"/>
      <b val="1"/>
      <color rgb="00B83A2E"/>
      <sz val="16"/>
    </font>
    <font>
      <name val="SF Pro Text"/>
      <b val="1"/>
      <color rgb="006F6A5F"/>
      <sz val="9"/>
    </font>
    <font>
      <name val="SF Pro Text"/>
      <color rgb="000B362C"/>
      <sz val="10"/>
    </font>
    <font>
      <name val="SF Pro Text"/>
      <b val="1"/>
      <color rgb="00148F72"/>
      <sz val="9"/>
    </font>
    <font>
      <name val="SF Pro Text"/>
      <b val="1"/>
      <color rgb="00B83A2E"/>
      <sz val="9"/>
    </font>
    <font>
      <name val="SF Pro Text"/>
      <b val="1"/>
      <color rgb="00148F72"/>
      <sz val="10"/>
    </font>
    <font>
      <name val="SF Pro Text"/>
      <color rgb="006F6A5F"/>
      <sz val="9"/>
    </font>
    <font>
      <name val="SF Pro Text"/>
      <b val="1"/>
      <color rgb="000B362C"/>
      <sz val="10"/>
    </font>
    <font>
      <name val="SF Pro Text"/>
      <b val="1"/>
      <color rgb="00B83A2E"/>
      <sz val="10"/>
    </font>
    <font>
      <b val="1"/>
      <color rgb="000B362C"/>
    </font>
  </fonts>
  <fills count="5">
    <fill>
      <patternFill/>
    </fill>
    <fill>
      <patternFill patternType="gray125"/>
    </fill>
    <fill>
      <patternFill patternType="solid">
        <fgColor rgb="00F4E1DF"/>
      </patternFill>
    </fill>
    <fill>
      <patternFill patternType="solid">
        <fgColor rgb="00FAF8F3"/>
      </patternFill>
    </fill>
    <fill>
      <patternFill patternType="solid">
        <fgColor rgb="00E7F3EE"/>
      </patternFill>
    </fill>
  </fills>
  <borders count="6">
    <border>
      <left/>
      <right/>
      <top/>
      <bottom/>
      <diagonal/>
    </border>
    <border>
      <left style="thin">
        <color rgb="00D1CBBA"/>
      </left>
      <right style="thin">
        <color rgb="00D1CBBA"/>
      </right>
      <top style="thin">
        <color rgb="00D1CBBA"/>
      </top>
      <bottom style="thin">
        <color rgb="00D1CBBA"/>
      </bottom>
    </border>
    <border>
      <left/>
      <right/>
      <top style="thin">
        <color rgb="00D1CBBA"/>
      </top>
      <bottom/>
      <diagonal/>
    </border>
    <border>
      <left/>
      <right style="thin">
        <color rgb="00D1CBBA"/>
      </right>
      <top style="thin">
        <color rgb="00D1CBBA"/>
      </top>
      <bottom/>
      <diagonal/>
    </border>
    <border>
      <left/>
      <right/>
      <top style="thin">
        <color rgb="00D1CBBA"/>
      </top>
      <bottom style="thin">
        <color rgb="00D1CBBA"/>
      </bottom>
      <diagonal/>
    </border>
    <border>
      <left/>
      <right style="thin">
        <color rgb="00D1CBBA"/>
      </right>
      <top style="thin">
        <color rgb="00D1CBBA"/>
      </top>
      <bottom style="thin">
        <color rgb="00D1CBBA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4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2" fillId="2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13" fillId="0" borderId="0" pivotButton="0" quotePrefix="0" xfId="0"/>
    <xf numFmtId="164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2" customWidth="1" min="3" max="3"/>
    <col width="22" customWidth="1" min="4" max="4"/>
  </cols>
  <sheetData>
    <row r="1">
      <c r="A1" s="1" t="inlineStr">
        <is>
          <t>Bead audit working paper</t>
        </is>
      </c>
    </row>
    <row r="2">
      <c r="A2" s="2" t="inlineStr">
        <is>
          <t>Change Management</t>
        </is>
      </c>
    </row>
    <row r="4">
      <c r="A4" s="3" t="inlineStr">
        <is>
          <t>Verdict</t>
        </is>
      </c>
      <c r="B4" s="4" t="inlineStr">
        <is>
          <t>CONTROL FAIL</t>
        </is>
      </c>
    </row>
    <row r="6">
      <c r="A6" s="5" t="inlineStr">
        <is>
          <t>Sample</t>
        </is>
      </c>
      <c r="B6" s="6" t="inlineStr">
        <is>
          <t>sample-2</t>
        </is>
      </c>
    </row>
    <row r="7">
      <c r="A7" s="5" t="inlineStr">
        <is>
          <t>Model</t>
        </is>
      </c>
      <c r="B7" s="6" t="inlineStr">
        <is>
          <t>claude:claude-opus-4-7</t>
        </is>
      </c>
    </row>
    <row r="8">
      <c r="A8" s="5" t="inlineStr">
        <is>
          <t>Generated</t>
        </is>
      </c>
      <c r="B8" s="6" t="inlineStr">
        <is>
          <t>03 Jul 2026, 03:49 UTC</t>
        </is>
      </c>
    </row>
    <row r="10">
      <c r="A10" s="7" t="inlineStr">
        <is>
          <t>Executive summary</t>
        </is>
      </c>
    </row>
    <row r="11" ht="60" customHeight="1">
      <c r="A11" s="8" t="inlineStr">
        <is>
          <t>The control failed. 2 of 3 attribute(s) were positively contradicted by the evidence. The auditee has open remediation to complete before this control can be signed off.</t>
        </is>
      </c>
    </row>
    <row r="13">
      <c r="A13" s="7" t="inlineStr">
        <is>
          <t>Key findings</t>
        </is>
      </c>
    </row>
    <row r="14">
      <c r="A14" s="9" t="inlineStr">
        <is>
          <t>FAIL</t>
        </is>
      </c>
      <c r="B14" s="8" t="inlineStr">
        <is>
          <t>Production changes are approved by an authorised change approver prior to deployment</t>
        </is>
      </c>
    </row>
    <row r="15">
      <c r="A15" s="9" t="inlineStr">
        <is>
          <t>FAIL</t>
        </is>
      </c>
      <c r="B15" s="8" t="inlineStr">
        <is>
          <t>Pre-deployment testing is completed and evidence retained before release</t>
        </is>
      </c>
    </row>
    <row r="16">
      <c r="A16" s="7" t="inlineStr">
        <is>
          <t>PASS</t>
        </is>
      </c>
      <c r="B16" s="8" t="inlineStr">
        <is>
          <t>Every production change has a corresponding change request that documents scope, risk classification, and rollback plan</t>
        </is>
      </c>
    </row>
    <row r="18">
      <c r="A18" s="7" t="inlineStr">
        <is>
          <t>Recommended actions</t>
        </is>
      </c>
    </row>
    <row r="19" ht="30" customHeight="1">
      <c r="A19" s="10" t="inlineStr">
        <is>
          <t>1</t>
        </is>
      </c>
      <c r="B19" s="8" t="inlineStr">
        <is>
          <t>Remediate the root cause of the FAIL on “Production changes are approved by an authorised change approver prior to deployment”, then re-submit for testing. Rationale: The change is classified Normal, which requires 2 approvers (Change Coordinator + CAB Change Approver) and evidenced CAB review.</t>
        </is>
      </c>
    </row>
    <row r="20" ht="30" customHeight="1">
      <c r="A20" s="10" t="inlineStr">
        <is>
          <t>2</t>
        </is>
      </c>
      <c r="B20" s="8" t="inlineStr">
        <is>
          <t>Remediate the root cause of the FAIL on “Pre-deployment testing is completed and evidence retained before release”, then re-submit for testing. Rationale: This is a Normal change.</t>
        </is>
      </c>
    </row>
    <row r="22">
      <c r="A22" s="7" t="inlineStr">
        <is>
          <t>Reviewer sign-off</t>
        </is>
      </c>
    </row>
    <row r="23">
      <c r="A23" s="11" t="inlineStr">
        <is>
          <t>Decision (Accept / Rework / Reject)</t>
        </is>
      </c>
      <c r="B23" s="12" t="inlineStr"/>
      <c r="C23" s="13" t="n"/>
      <c r="D23" s="14" t="n"/>
    </row>
    <row r="24">
      <c r="A24" s="11" t="inlineStr">
        <is>
          <t>Reviewer name</t>
        </is>
      </c>
      <c r="B24" s="12" t="inlineStr"/>
      <c r="C24" s="13" t="n"/>
      <c r="D24" s="14" t="n"/>
    </row>
    <row r="25">
      <c r="A25" s="11" t="inlineStr">
        <is>
          <t>Reviewer role</t>
        </is>
      </c>
      <c r="B25" s="12" t="inlineStr"/>
      <c r="C25" s="13" t="n"/>
      <c r="D25" s="14" t="n"/>
    </row>
    <row r="26">
      <c r="A26" s="11" t="inlineStr">
        <is>
          <t>Date</t>
        </is>
      </c>
      <c r="B26" s="12" t="inlineStr"/>
      <c r="C26" s="13" t="n"/>
      <c r="D26" s="14" t="n"/>
    </row>
    <row r="27">
      <c r="A27" s="11" t="inlineStr">
        <is>
          <t>Comments</t>
        </is>
      </c>
      <c r="B27" s="12" t="inlineStr"/>
      <c r="C27" s="13" t="n"/>
      <c r="D27" s="14" t="n"/>
    </row>
  </sheetData>
  <mergeCells count="14">
    <mergeCell ref="A1:D1"/>
    <mergeCell ref="B19:D19"/>
    <mergeCell ref="B14:D14"/>
    <mergeCell ref="B23:D23"/>
    <mergeCell ref="B4:D4"/>
    <mergeCell ref="B26:D26"/>
    <mergeCell ref="B27:D27"/>
    <mergeCell ref="A2:D2"/>
    <mergeCell ref="A11:D11"/>
    <mergeCell ref="B15:D15"/>
    <mergeCell ref="B25:D25"/>
    <mergeCell ref="B24:D24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12" customWidth="1" min="3" max="3"/>
    <col width="70" customWidth="1" min="4" max="4"/>
    <col width="12" customWidth="1" min="5" max="5"/>
    <col width="40" customWidth="1" min="6" max="6"/>
  </cols>
  <sheetData>
    <row r="1">
      <c r="A1" s="15" t="inlineStr">
        <is>
          <t>Attribute</t>
        </is>
      </c>
      <c r="B1" s="15" t="inlineStr">
        <is>
          <t>Verdict</t>
        </is>
      </c>
      <c r="C1" s="15" t="inlineStr">
        <is>
          <t>Confidence</t>
        </is>
      </c>
      <c r="D1" s="15" t="inlineStr">
        <is>
          <t>Rationale</t>
        </is>
      </c>
      <c r="E1" s="15" t="inlineStr">
        <is>
          <t>Citations</t>
        </is>
      </c>
      <c r="F1" s="15" t="inlineStr">
        <is>
          <t>Exceptions considered</t>
        </is>
      </c>
    </row>
    <row r="2" ht="80" customHeight="1">
      <c r="A2" s="16" t="inlineStr">
        <is>
          <t>Every production change has a corresponding change request that documents scope, risk classification, and rollback plan</t>
        </is>
      </c>
      <c r="B2" s="17" t="inlineStr">
        <is>
          <t>SUCCESS</t>
        </is>
      </c>
      <c r="C2" s="16" t="n">
        <v>0.95</v>
      </c>
      <c r="D2" s="16" t="inlineStr">
        <is>
          <t>The change request CHG-2026-0912 exists and follows the CHG-YYYY-NNNN format. It documents scope (systems affected: reports-api/worker/db; repositories: reports-service PR #47, infra-terraform PR #2438), risk classification (Medium), rollback plan (3 steps with 5-min RTO), a named requester and named approver (both Marcus Bell — note: independence is a separate attribute), planned window (2026-06-28 15:00–17:00 UTC), and category (Normal). The change is a new production service deployment, not an out-of-scope exception. All documentation-completeness criteria for this attribute are met.</t>
        </is>
      </c>
      <c r="E2" s="16" t="n">
        <v>6</v>
      </c>
      <c r="F2" s="16" t="inlineStr">
        <is>
          <t>Documentation-only exception: rejected — deployment provisions new production services and RDS instance.
Dev/staging exception: rejected — deployment log shows production ECS/RDS resources.
Incident Response break-fix: rejected — CR is categorised Normal for an end-of-quarter feature launch, not an IR hotfix.</t>
        </is>
      </c>
    </row>
    <row r="3" ht="80" customHeight="1">
      <c r="A3" s="16" t="inlineStr">
        <is>
          <t>Production changes are approved by an authorised change approver prior to deployment</t>
        </is>
      </c>
      <c r="B3" s="18" t="inlineStr">
        <is>
          <t>FAIL</t>
        </is>
      </c>
      <c r="C3" s="16" t="n">
        <v>0.98</v>
      </c>
      <c r="D3" s="16" t="inlineStr">
        <is>
          <t>The change is classified Normal, which requires 2 approvers (Change Coordinator + CAB Change Approver) and evidenced CAB review. The change request records only a self-approval by Marcus Bell, who is also the requester — this violates the four-eyes principle. CAB review was explicitly skipped ("standing team autonomy waiver") and only scheduled retroactively; retrospective approval is only valid for Emergency changes per policy. Multiple criteria fail: same-person approver, single approver on a Normal change, and no CAB evidence.</t>
        </is>
      </c>
      <c r="E3" s="16" t="n">
        <v>4</v>
      </c>
      <c r="F3" s="16" t="inlineStr">
        <is>
          <t>Retrospective/Emergency exception: rejected — the change is classified Normal, not Emergency, so the retrospective-CAB pathway does not apply.
Documentation-only exception: rejected — this is a production service deployment with new infra.</t>
        </is>
      </c>
    </row>
    <row r="4" ht="80" customHeight="1">
      <c r="A4" s="16" t="inlineStr">
        <is>
          <t>Pre-deployment testing is completed and evidence retained before release</t>
        </is>
      </c>
      <c r="B4" s="18" t="inlineStr">
        <is>
          <t>FAIL</t>
        </is>
      </c>
      <c r="C4" s="16" t="n">
        <v>0.95</v>
      </c>
      <c r="D4" s="16" t="inlineStr">
        <is>
          <t>This is a Normal change. A test plan and results workbook is attached and dated 2026-06-28 09:02–09:06 UTC, prior to the 15:04 UTC deployment — so those criteria are met. However, the Test Cases sheet shows two functional tests (TC-002) and one regression test (TC-004) with Result=FAIL, and the change request itself acknowledges "3 test cases failed on staging ... Deployment proceeded pending post-deployment fix." Policy states "Failed tests block deployment for Standard/Normal changes" — deployment proceeded anyway (deployment-log confirms DEPLOYED status), directly contradicting the criterion "if any tests failed, deployment did not proceed."</t>
        </is>
      </c>
      <c r="E4" s="16" t="n">
        <v>4</v>
      </c>
      <c r="F4" s="16" t="inlineStr">
        <is>
          <t>Emergency-change accepted-risk exception: rejected because the change request explicitly classifies this as Category=Normal, not Emergency, so the 'accepted risk' carve-out for failed tests does not apply.
Documentation-only / dev-or-staging scope exception: rejected — this deploys a new production service (reports-api, reports-worker, reports-db).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32" customWidth="1" min="3" max="3"/>
    <col width="70" customWidth="1" min="4" max="4"/>
  </cols>
  <sheetData>
    <row r="1">
      <c r="A1" s="15" t="inlineStr">
        <is>
          <t>Attribute</t>
        </is>
      </c>
      <c r="B1" s="15" t="inlineStr">
        <is>
          <t>File</t>
        </is>
      </c>
      <c r="C1" s="15" t="inlineStr">
        <is>
          <t>Locator</t>
        </is>
      </c>
      <c r="D1" s="15" t="inlineStr">
        <is>
          <t>Observation</t>
        </is>
      </c>
    </row>
    <row r="2">
      <c r="A2" s="16" t="inlineStr">
        <is>
          <t>Every production change has a corresponding change request that documents scope, risk classification, and rollback plan</t>
        </is>
      </c>
      <c r="B2" s="16" t="inlineStr">
        <is>
          <t>change-request.md</t>
        </is>
      </c>
      <c r="C2" s="16" t="inlineStr">
        <is>
          <t>Title line</t>
        </is>
      </c>
      <c r="D2" s="16" t="inlineStr">
        <is>
          <t>Change request identifier CHG-2026-0912 in required CHG-YYYY-NNNN format, titled 'Deploy new Q2 reporting service to production'.</t>
        </is>
      </c>
    </row>
    <row r="3">
      <c r="A3" s="16" t="inlineStr">
        <is>
          <t>Every production change has a corresponding change request that documents scope, risk classification, and rollback plan</t>
        </is>
      </c>
      <c r="B3" s="16" t="inlineStr">
        <is>
          <t>change-request.md</t>
        </is>
      </c>
      <c r="C3" s="16" t="inlineStr">
        <is>
          <t>Header block (Category/Risk/Systems/Repositories/Planned window)</t>
        </is>
      </c>
      <c r="D3" s="16" t="inlineStr">
        <is>
          <t>Category: Normal; Risk: Medium; Systems: reports-api, reports-worker, reports-db; Repositories: northpeak/reports-service PR #47, northpeak/infra-terraform PR #2438; Planned window: 2026-06-28 15:00–17:00 UTC.</t>
        </is>
      </c>
    </row>
    <row r="4">
      <c r="A4" s="16" t="inlineStr">
        <is>
          <t>Every production change has a corresponding change request that documents scope, risk classification, and rollback plan</t>
        </is>
      </c>
      <c r="B4" s="16" t="inlineStr">
        <is>
          <t>change-request.md</t>
        </is>
      </c>
      <c r="C4" s="16" t="inlineStr">
        <is>
          <t>Scope section</t>
        </is>
      </c>
      <c r="D4" s="16" t="inlineStr">
        <is>
          <t>Scope enumerated: deploy reporting service, provision RDS, configure IAM/API gateway routes.</t>
        </is>
      </c>
    </row>
    <row r="5">
      <c r="A5" s="16" t="inlineStr">
        <is>
          <t>Every production change has a corresponding change request that documents scope, risk classification, and rollback plan</t>
        </is>
      </c>
      <c r="B5" s="16" t="inlineStr">
        <is>
          <t>change-request.md</t>
        </is>
      </c>
      <c r="C5" s="16" t="inlineStr">
        <is>
          <t>Rollback plan section</t>
        </is>
      </c>
      <c r="D5" s="16" t="inlineStr">
        <is>
          <t>Rollback plan with 3 numbered steps and 5-minute RTO documented.</t>
        </is>
      </c>
    </row>
    <row r="6">
      <c r="A6" s="16" t="inlineStr">
        <is>
          <t>Every production change has a corresponding change request that documents scope, risk classification, and rollback plan</t>
        </is>
      </c>
      <c r="B6" s="16" t="inlineStr">
        <is>
          <t>change-request.md</t>
        </is>
      </c>
      <c r="C6" s="16" t="inlineStr">
        <is>
          <t>Requester and Approver sections</t>
        </is>
      </c>
      <c r="D6" s="16" t="inlineStr">
        <is>
          <t>Requester: Marcus Bell; Approver: Marcus Bell (independence is out of scope for this attribute but noted).</t>
        </is>
      </c>
    </row>
    <row r="7">
      <c r="A7" s="16" t="inlineStr">
        <is>
          <t>Every production change has a corresponding change request that documents scope, risk classification, and rollback plan</t>
        </is>
      </c>
      <c r="B7" s="16" t="inlineStr">
        <is>
          <t>deployment-log.txt</t>
        </is>
      </c>
      <c r="C7" s="16" t="inlineStr">
        <is>
          <t>Header (system line)</t>
        </is>
      </c>
      <c r="D7" s="16" t="inlineStr">
        <is>
          <t>Deployment targets production reports-api/worker/db — confirms this is a production change, not dev/staging or docs-only, so no exception applies.</t>
        </is>
      </c>
    </row>
    <row r="8">
      <c r="A8" s="16" t="inlineStr">
        <is>
          <t>Production changes are approved by an authorised change approver prior to deployment</t>
        </is>
      </c>
      <c r="B8" s="16" t="inlineStr">
        <is>
          <t>change-request.md</t>
        </is>
      </c>
      <c r="C8" s="16" t="inlineStr">
        <is>
          <t>Category line</t>
        </is>
      </c>
      <c r="D8" s="16" t="inlineStr">
        <is>
          <t>Category: Normal, Risk: Medium — triggers 2-approver + CAB requirements.</t>
        </is>
      </c>
    </row>
    <row r="9">
      <c r="A9" s="16" t="inlineStr">
        <is>
          <t>Production changes are approved by an authorised change approver prior to deployment</t>
        </is>
      </c>
      <c r="B9" s="16" t="inlineStr">
        <is>
          <t>change-request.md</t>
        </is>
      </c>
      <c r="C9" s="16" t="inlineStr">
        <is>
          <t>Requester and Approver sections</t>
        </is>
      </c>
      <c r="D9" s="16" t="inlineStr">
        <is>
          <t>Both requester and approver are listed as 'Marcus Bell (Platform Engineer) — marcus.bell@northpeakfinancial.com' — same human, violating four-eyes.</t>
        </is>
      </c>
    </row>
    <row r="10">
      <c r="A10" s="16" t="inlineStr">
        <is>
          <t>Production changes are approved by an authorised change approver prior to deployment</t>
        </is>
      </c>
      <c r="B10" s="16" t="inlineStr">
        <is>
          <t>change-request.md</t>
        </is>
      </c>
      <c r="C10" s="16" t="inlineStr">
        <is>
          <t>Approval record section</t>
        </is>
      </c>
      <c r="D10" s="16" t="inlineStr">
        <is>
          <t>CAB meeting reference '(none — deployed under standing team autonomy waiver)'; Approval decision 'Self-approved'; note states CAB was skipped to hit demo deadline and retroactive CAB scheduled for 2026-07-02.</t>
        </is>
      </c>
    </row>
    <row r="11">
      <c r="A11" s="16" t="inlineStr">
        <is>
          <t>Production changes are approved by an authorised change approver prior to deployment</t>
        </is>
      </c>
      <c r="B11" s="16" t="inlineStr">
        <is>
          <t>deployment-log.txt</t>
        </is>
      </c>
      <c r="C11" s="16" t="inlineStr">
        <is>
          <t>Line 2026-06-28 15:04:20 UTC approval verification</t>
        </is>
      </c>
      <c r="D11" s="16" t="inlineStr">
        <is>
          <t>Log confirms 'approved by marcus.bell at 2026-06-28T14:47:00Z (self-approved)' — deployment proceeded on a self-approval.</t>
        </is>
      </c>
    </row>
    <row r="12">
      <c r="A12" s="16" t="inlineStr">
        <is>
          <t>Pre-deployment testing is completed and evidence retained before release</t>
        </is>
      </c>
      <c r="B12" s="16" t="inlineStr">
        <is>
          <t>pre-deployment-test-results.xlsx</t>
        </is>
      </c>
      <c r="C12" s="16" t="inlineStr">
        <is>
          <t>Test Cases!D2:D6 (Result column)</t>
        </is>
      </c>
      <c r="D12" s="16" t="inlineStr">
        <is>
          <t>TC-002 (functional, Q2 aggregate) = FAIL and TC-004 (regression, CSV columns) = FAIL; executed 2026-06-28 09:03 and 09:05 UTC by test-bot.</t>
        </is>
      </c>
    </row>
    <row r="13">
      <c r="A13" s="16" t="inlineStr">
        <is>
          <t>Pre-deployment testing is completed and evidence retained before release</t>
        </is>
      </c>
      <c r="B13" s="16" t="inlineStr">
        <is>
          <t>change-request.md</t>
        </is>
      </c>
      <c r="C13" s="16" t="inlineStr">
        <is>
          <t>## Testing evidence section</t>
        </is>
      </c>
      <c r="D13" s="16" t="inlineStr">
        <is>
          <t>States '3 test cases failed on staging (2 functional, 1 performance). Deployment proceeded pending post-deployment fix.'</t>
        </is>
      </c>
    </row>
    <row r="14">
      <c r="A14" s="16" t="inlineStr">
        <is>
          <t>Pre-deployment testing is completed and evidence retained before release</t>
        </is>
      </c>
      <c r="B14" s="16" t="inlineStr">
        <is>
          <t>deployment-log.txt</t>
        </is>
      </c>
      <c r="C14" s="16" t="inlineStr">
        <is>
          <t>Final line 2026-06-28 15:31:02 UTC</t>
        </is>
      </c>
      <c r="D14" s="16" t="inlineStr">
        <is>
          <t>'CHG-2026-0912 complete — status: DEPLOYED (with known post-deploy defects to be fixed 2026-06-29)' — confirms deployment proceeded despite failed pre-deployment tests.</t>
        </is>
      </c>
    </row>
    <row r="15">
      <c r="A15" s="16" t="inlineStr">
        <is>
          <t>Pre-deployment testing is completed and evidence retained before release</t>
        </is>
      </c>
      <c r="B15" s="16" t="inlineStr">
        <is>
          <t>pre-deployment-test-results.xlsx</t>
        </is>
      </c>
      <c r="C15" s="16" t="inlineStr">
        <is>
          <t>Test Cases!F2:F6 (Executed At)</t>
        </is>
      </c>
      <c r="D15" s="16" t="inlineStr">
        <is>
          <t>All test executions dated 2026-06-28 09:02–09:06 UTC, i.e. before deployment window start of 15:04 UTC — dating criterion met.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55" customWidth="1" min="4" max="4"/>
    <col width="40" customWidth="1" min="5" max="5"/>
  </cols>
  <sheetData>
    <row r="1">
      <c r="A1" s="15" t="inlineStr">
        <is>
          <t>File</t>
        </is>
      </c>
      <c r="B1" s="15" t="inlineStr">
        <is>
          <t>Type</t>
        </is>
      </c>
      <c r="C1" s="15" t="inlineStr">
        <is>
          <t>Size (bytes)</t>
        </is>
      </c>
      <c r="D1" s="15" t="inlineStr">
        <is>
          <t>Extraction summary</t>
        </is>
      </c>
      <c r="E1" s="15" t="inlineStr">
        <is>
          <t>Cited by attributes</t>
        </is>
      </c>
    </row>
    <row r="2">
      <c r="A2" s="16" t="inlineStr">
        <is>
          <t>change-request.md</t>
        </is>
      </c>
      <c r="B2" s="16" t="inlineStr">
        <is>
          <t>markdown</t>
        </is>
      </c>
      <c r="C2" s="16" t="n">
        <v>1529</v>
      </c>
      <c r="D2" s="16" t="inlineStr">
        <is>
          <t>Text · 202 words, inlined verbatim into the judge prompt</t>
        </is>
      </c>
      <c r="E2" s="16" t="inlineStr">
        <is>
          <t>change-request-documented, change-request-documented, change-request-documented, change-request-documented, change-request-documented, authorised-approver-pre-deployment, authorised-approver-pre-deployment, authorised-approver-pre-deployment, pre-deployment-testing-evidence</t>
        </is>
      </c>
    </row>
    <row r="3">
      <c r="A3" s="16" t="inlineStr">
        <is>
          <t>deployment-log.txt</t>
        </is>
      </c>
      <c r="B3" s="16" t="inlineStr">
        <is>
          <t>text</t>
        </is>
      </c>
      <c r="C3" s="16" t="n">
        <v>1450</v>
      </c>
      <c r="D3" s="16" t="inlineStr">
        <is>
          <t>Text · 162 words, inlined verbatim into the judge prompt</t>
        </is>
      </c>
      <c r="E3" s="16" t="inlineStr">
        <is>
          <t>change-request-documented, authorised-approver-pre-deployment, pre-deployment-testing-evidence</t>
        </is>
      </c>
    </row>
    <row r="4">
      <c r="A4" s="16" t="inlineStr">
        <is>
          <t>pre-deployment-test-results.xlsx</t>
        </is>
      </c>
      <c r="B4" s="16" t="inlineStr">
        <is>
          <t>xlsx</t>
        </is>
      </c>
      <c r="C4" s="16" t="n">
        <v>5996</v>
      </c>
      <c r="D4" s="16" t="inlineStr">
        <is>
          <t>Workbook · 2 sheet(s), 7 rows total. Sheets: Test Cases, Summary</t>
        </is>
      </c>
      <c r="E4" s="16" t="inlineStr">
        <is>
          <t>pre-deployment-testing-evidence, pre-deployment-testing-evidence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24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>
      <c r="A1" s="15" t="inlineStr">
        <is>
          <t>#</t>
        </is>
      </c>
      <c r="B1" s="15" t="inlineStr">
        <is>
          <t>Timestamp</t>
        </is>
      </c>
      <c r="C1" s="15" t="inlineStr">
        <is>
          <t>Purpose</t>
        </is>
      </c>
      <c r="D1" s="15" t="inlineStr">
        <is>
          <t>Model</t>
        </is>
      </c>
      <c r="E1" s="15" t="inlineStr">
        <is>
          <t>Input tokens</t>
        </is>
      </c>
      <c r="F1" s="15" t="inlineStr">
        <is>
          <t>Cache read</t>
        </is>
      </c>
      <c r="G1" s="15" t="inlineStr">
        <is>
          <t>Output tokens</t>
        </is>
      </c>
      <c r="H1" s="15" t="inlineStr">
        <is>
          <t>Cost USD</t>
        </is>
      </c>
      <c r="I1" s="15" t="inlineStr">
        <is>
          <t>Latency (ms)</t>
        </is>
      </c>
    </row>
    <row r="2">
      <c r="A2" s="16" t="n">
        <v>1</v>
      </c>
      <c r="B2" s="16" t="inlineStr">
        <is>
          <t>2026-07-03T03:40:38.512115Z</t>
        </is>
      </c>
      <c r="C2" s="16" t="inlineStr">
        <is>
          <t>judge:change-request-documented:sample-1</t>
        </is>
      </c>
      <c r="D2" s="16" t="inlineStr">
        <is>
          <t>claude-opus-4-7</t>
        </is>
      </c>
      <c r="E2" s="16" t="n">
        <v>12237</v>
      </c>
      <c r="F2" s="16" t="n">
        <v>0</v>
      </c>
      <c r="G2" s="16" t="n">
        <v>3945</v>
      </c>
      <c r="H2" s="19" t="n">
        <v>0.47943</v>
      </c>
      <c r="I2" s="16" t="n">
        <v>16903</v>
      </c>
    </row>
    <row r="3">
      <c r="A3" s="16" t="n">
        <v>2</v>
      </c>
      <c r="B3" s="16" t="inlineStr">
        <is>
          <t>2026-07-03T03:41:38.676590Z</t>
        </is>
      </c>
      <c r="C3" s="16" t="inlineStr">
        <is>
          <t>judge:authorised-approver-pre-deployment:sample-1</t>
        </is>
      </c>
      <c r="D3" s="16" t="inlineStr">
        <is>
          <t>claude-opus-4-7</t>
        </is>
      </c>
      <c r="E3" s="16" t="n">
        <v>12282</v>
      </c>
      <c r="F3" s="16" t="n">
        <v>0</v>
      </c>
      <c r="G3" s="16" t="n">
        <v>3635</v>
      </c>
      <c r="H3" s="19" t="n">
        <v>0.456855</v>
      </c>
      <c r="I3" s="16" t="n">
        <v>15711</v>
      </c>
    </row>
    <row r="4">
      <c r="A4" s="16" t="n">
        <v>3</v>
      </c>
      <c r="B4" s="16" t="inlineStr">
        <is>
          <t>2026-07-03T03:42:20.425037Z</t>
        </is>
      </c>
      <c r="C4" s="16" t="inlineStr">
        <is>
          <t>judge:pre-deployment-testing-evidence:sample-1</t>
        </is>
      </c>
      <c r="D4" s="16" t="inlineStr">
        <is>
          <t>claude-opus-4-7</t>
        </is>
      </c>
      <c r="E4" s="16" t="n">
        <v>12171</v>
      </c>
      <c r="F4" s="16" t="n">
        <v>0</v>
      </c>
      <c r="G4" s="16" t="n">
        <v>3288</v>
      </c>
      <c r="H4" s="19" t="n">
        <v>0.429165</v>
      </c>
      <c r="I4" s="16" t="n">
        <v>14789</v>
      </c>
    </row>
    <row r="5">
      <c r="A5" s="16" t="n">
        <v>4</v>
      </c>
      <c r="B5" s="16" t="inlineStr">
        <is>
          <t>2026-07-03T03:43:34.856033Z</t>
        </is>
      </c>
      <c r="C5" s="16" t="inlineStr">
        <is>
          <t>judge:change-request-documented:sample-2</t>
        </is>
      </c>
      <c r="D5" s="16" t="inlineStr">
        <is>
          <t>claude-opus-4-7</t>
        </is>
      </c>
      <c r="E5" s="16" t="n">
        <v>11808</v>
      </c>
      <c r="F5" s="16" t="n">
        <v>0</v>
      </c>
      <c r="G5" s="16" t="n">
        <v>3732</v>
      </c>
      <c r="H5" s="19" t="n">
        <v>0.45702</v>
      </c>
      <c r="I5" s="16" t="n">
        <v>16764</v>
      </c>
    </row>
    <row r="6">
      <c r="A6" s="16" t="n">
        <v>5</v>
      </c>
      <c r="B6" s="16" t="inlineStr">
        <is>
          <t>2026-07-03T03:44:17.557054Z</t>
        </is>
      </c>
      <c r="C6" s="16" t="inlineStr">
        <is>
          <t>judge:authorised-approver-pre-deployment:sample-2</t>
        </is>
      </c>
      <c r="D6" s="16" t="inlineStr">
        <is>
          <t>claude-opus-4-7</t>
        </is>
      </c>
      <c r="E6" s="16" t="n">
        <v>11853</v>
      </c>
      <c r="F6" s="16" t="n">
        <v>0</v>
      </c>
      <c r="G6" s="16" t="n">
        <v>3339</v>
      </c>
      <c r="H6" s="19" t="n">
        <v>0.42822</v>
      </c>
      <c r="I6" s="16" t="n">
        <v>16002</v>
      </c>
    </row>
    <row r="7">
      <c r="A7" s="16" t="n">
        <v>6</v>
      </c>
      <c r="B7" s="16" t="inlineStr">
        <is>
          <t>2026-07-03T03:49:13.305734Z</t>
        </is>
      </c>
      <c r="C7" s="16" t="inlineStr">
        <is>
          <t>judge:pre-deployment-testing-evidence:sample-2</t>
        </is>
      </c>
      <c r="D7" s="16" t="inlineStr">
        <is>
          <t>claude-opus-4-7</t>
        </is>
      </c>
      <c r="E7" s="16" t="n">
        <v>11742</v>
      </c>
      <c r="F7" s="16" t="n">
        <v>0</v>
      </c>
      <c r="G7" s="16" t="n">
        <v>3528</v>
      </c>
      <c r="H7" s="19" t="n">
        <v>0.44073</v>
      </c>
      <c r="I7" s="16" t="n">
        <v>264910</v>
      </c>
    </row>
    <row r="8">
      <c r="C8" s="20" t="inlineStr">
        <is>
          <t>TOTAL</t>
        </is>
      </c>
      <c r="E8" s="20">
        <f>SUM(E2:E7)</f>
        <v/>
      </c>
      <c r="F8" s="20">
        <f>SUM(F2:F7)</f>
        <v/>
      </c>
      <c r="G8" s="20">
        <f>SUM(G2:G7)</f>
        <v/>
      </c>
      <c r="H8" s="21">
        <f>SUM(H2:H7)</f>
        <v/>
      </c>
      <c r="I8" s="20">
        <f>SUM(I2:I7)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2026-07-03T03:56:10Z</dcterms:created>
  <dcterms:modified xsi:type="dcterms:W3CDTF">2026-07-03T03:56:10Z</dcterms:modified>
</cp:coreProperties>
</file>