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Attribute Verdicts" sheetId="2" state="visible" r:id="rId2"/>
    <sheet name="Evidence Citations" sheetId="3" state="visible" r:id="rId3"/>
    <sheet name="Reperformance" sheetId="4" state="visible" r:id="rId4"/>
    <sheet name="Evidence Inventory" sheetId="5" state="visible" r:id="rId5"/>
    <sheet name="Decision Log" sheetId="6" state="visible" r:id="rId6"/>
  </sheets>
  <definedNames/>
  <calcPr calcId="124519" fullCalcOnLoad="1"/>
</workbook>
</file>

<file path=xl/styles.xml><?xml version="1.0" encoding="utf-8"?>
<styleSheet xmlns="http://schemas.openxmlformats.org/spreadsheetml/2006/main">
  <numFmts count="1">
    <numFmt numFmtId="164" formatCode="&quot;$&quot;#,##0.0000"/>
  </numFmts>
  <fonts count="16">
    <font>
      <name val="Calibri"/>
      <family val="2"/>
      <color theme="1"/>
      <sz val="11"/>
      <scheme val="minor"/>
    </font>
    <font>
      <name val="SF Pro Display"/>
      <b val="1"/>
      <color rgb="00148F72"/>
      <sz val="8"/>
    </font>
    <font>
      <name val="SF Pro Display"/>
      <b val="1"/>
      <color rgb="000B362C"/>
      <sz val="22"/>
    </font>
    <font>
      <name val="SF Pro Text"/>
      <b val="1"/>
      <color rgb="000B362C"/>
      <sz val="9"/>
    </font>
    <font>
      <name val="SF Pro Text"/>
      <b val="1"/>
      <color rgb="00B83A2E"/>
      <sz val="16"/>
    </font>
    <font>
      <name val="SF Pro Text"/>
      <b val="1"/>
      <color rgb="006F6A5F"/>
      <sz val="9"/>
    </font>
    <font>
      <name val="SF Pro Text"/>
      <color rgb="000B362C"/>
      <sz val="10"/>
    </font>
    <font>
      <name val="SF Pro Text"/>
      <b val="1"/>
      <color rgb="00148F72"/>
      <sz val="9"/>
    </font>
    <font>
      <name val="SF Pro Text"/>
      <b val="1"/>
      <color rgb="00B83A2E"/>
      <sz val="9"/>
    </font>
    <font>
      <name val="SF Pro Text"/>
      <b val="1"/>
      <color rgb="00A17321"/>
      <sz val="9"/>
    </font>
    <font>
      <name val="SF Pro Text"/>
      <b val="1"/>
      <color rgb="00148F72"/>
      <sz val="10"/>
    </font>
    <font>
      <name val="SF Pro Text"/>
      <color rgb="006F6A5F"/>
      <sz val="9"/>
    </font>
    <font>
      <name val="SF Pro Text"/>
      <b val="1"/>
      <color rgb="000B362C"/>
      <sz val="10"/>
    </font>
    <font>
      <name val="SF Pro Text"/>
      <b val="1"/>
      <color rgb="00B83A2E"/>
      <sz val="10"/>
    </font>
    <font>
      <name val="SF Pro Text"/>
      <b val="1"/>
      <color rgb="00148F72"/>
      <sz val="12"/>
    </font>
    <font>
      <b val="1"/>
      <color rgb="000B362C"/>
    </font>
  </fonts>
  <fills count="5">
    <fill>
      <patternFill/>
    </fill>
    <fill>
      <patternFill patternType="gray125"/>
    </fill>
    <fill>
      <patternFill patternType="solid">
        <fgColor rgb="00F4E1DF"/>
      </patternFill>
    </fill>
    <fill>
      <patternFill patternType="solid">
        <fgColor rgb="00FAF8F3"/>
      </patternFill>
    </fill>
    <fill>
      <patternFill patternType="solid">
        <fgColor rgb="00E7F3EE"/>
      </patternFill>
    </fill>
  </fills>
  <borders count="6">
    <border>
      <left/>
      <right/>
      <top/>
      <bottom/>
      <diagonal/>
    </border>
    <border>
      <left style="thin">
        <color rgb="00D1CBBA"/>
      </left>
      <right style="thin">
        <color rgb="00D1CBBA"/>
      </right>
      <top style="thin">
        <color rgb="00D1CBBA"/>
      </top>
      <bottom style="thin">
        <color rgb="00D1CBBA"/>
      </bottom>
    </border>
    <border>
      <left/>
      <right/>
      <top style="thin">
        <color rgb="00D1CBBA"/>
      </top>
      <bottom/>
      <diagonal/>
    </border>
    <border>
      <left/>
      <right style="thin">
        <color rgb="00D1CBBA"/>
      </right>
      <top style="thin">
        <color rgb="00D1CBBA"/>
      </top>
      <bottom/>
      <diagonal/>
    </border>
    <border>
      <left/>
      <right/>
      <top style="thin">
        <color rgb="00D1CBBA"/>
      </top>
      <bottom style="thin">
        <color rgb="00D1CBBA"/>
      </bottom>
      <diagonal/>
    </border>
    <border>
      <left/>
      <right style="thin">
        <color rgb="00D1CBBA"/>
      </right>
      <top style="thin">
        <color rgb="00D1CBBA"/>
      </top>
      <bottom style="thin">
        <color rgb="00D1CBBA"/>
      </bottom>
      <diagonal/>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5" fillId="0" borderId="0" pivotButton="0" quotePrefix="0" xfId="0"/>
    <xf numFmtId="0" fontId="6" fillId="0" borderId="0" pivotButton="0" quotePrefix="0" xfId="0"/>
    <xf numFmtId="0" fontId="7" fillId="0" borderId="0" pivotButton="0" quotePrefix="0" xfId="0"/>
    <xf numFmtId="0" fontId="0" fillId="0" borderId="0" applyAlignment="1" pivotButton="0" quotePrefix="0" xfId="0">
      <alignment vertical="top" wrapText="1"/>
    </xf>
    <xf numFmtId="0" fontId="8" fillId="0" borderId="0" pivotButton="0" quotePrefix="0" xfId="0"/>
    <xf numFmtId="0" fontId="9" fillId="0" borderId="0" pivotButton="0" quotePrefix="0" xfId="0"/>
    <xf numFmtId="0" fontId="10" fillId="0" borderId="0" pivotButton="0" quotePrefix="0" xfId="0"/>
    <xf numFmtId="0" fontId="11" fillId="0" borderId="0" pivotButton="0" quotePrefix="0" xfId="0"/>
    <xf numFmtId="0" fontId="0" fillId="3" borderId="1" pivotButton="0" quotePrefix="0" xfId="0"/>
    <xf numFmtId="0" fontId="0" fillId="0" borderId="4" pivotButton="0" quotePrefix="0" xfId="0"/>
    <xf numFmtId="0" fontId="0" fillId="0" borderId="5" pivotButton="0" quotePrefix="0" xfId="0"/>
    <xf numFmtId="0" fontId="12" fillId="4" borderId="1" applyAlignment="1" pivotButton="0" quotePrefix="0" xfId="0">
      <alignment vertical="center"/>
    </xf>
    <xf numFmtId="0" fontId="6" fillId="0" borderId="1" applyAlignment="1" pivotButton="0" quotePrefix="0" xfId="0">
      <alignment vertical="top" wrapText="1"/>
    </xf>
    <xf numFmtId="0" fontId="10" fillId="4" borderId="1" applyAlignment="1" pivotButton="0" quotePrefix="0" xfId="0">
      <alignment vertical="top" wrapText="1"/>
    </xf>
    <xf numFmtId="0" fontId="13" fillId="2" borderId="1" applyAlignment="1" pivotButton="0" quotePrefix="0" xfId="0">
      <alignment vertical="top" wrapText="1"/>
    </xf>
    <xf numFmtId="0" fontId="14" fillId="0" borderId="0" pivotButton="0" quotePrefix="0" xfId="0"/>
    <xf numFmtId="0" fontId="11" fillId="0" borderId="0" applyAlignment="1" pivotButton="0" quotePrefix="0" xfId="0">
      <alignment wrapText="1"/>
    </xf>
    <xf numFmtId="164" fontId="6" fillId="0" borderId="1" applyAlignment="1" pivotButton="0" quotePrefix="0" xfId="0">
      <alignment vertical="top" wrapText="1"/>
    </xf>
    <xf numFmtId="0" fontId="15" fillId="0" borderId="0" pivotButton="0" quotePrefix="0" xfId="0"/>
    <xf numFmtId="164" fontId="1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40" customWidth="1" min="2" max="2"/>
    <col width="22" customWidth="1" min="3" max="3"/>
    <col width="22" customWidth="1" min="4" max="4"/>
  </cols>
  <sheetData>
    <row r="1">
      <c r="A1" s="1" t="inlineStr">
        <is>
          <t>Bead audit working paper</t>
        </is>
      </c>
    </row>
    <row r="2">
      <c r="A2" s="2" t="inlineStr">
        <is>
          <t>User Access Review</t>
        </is>
      </c>
    </row>
    <row r="4">
      <c r="A4" s="3" t="inlineStr">
        <is>
          <t>Verdict</t>
        </is>
      </c>
      <c r="B4" s="4" t="inlineStr">
        <is>
          <t>CONTROL FAIL</t>
        </is>
      </c>
    </row>
    <row r="6">
      <c r="A6" s="5" t="inlineStr">
        <is>
          <t>Sample</t>
        </is>
      </c>
      <c r="B6" s="6" t="inlineStr">
        <is>
          <t>sample-1</t>
        </is>
      </c>
    </row>
    <row r="7">
      <c r="A7" s="5" t="inlineStr">
        <is>
          <t>Model</t>
        </is>
      </c>
      <c r="B7" s="6" t="inlineStr">
        <is>
          <t>claude:claude-opus-4-7</t>
        </is>
      </c>
    </row>
    <row r="8">
      <c r="A8" s="5" t="inlineStr">
        <is>
          <t>Generated</t>
        </is>
      </c>
      <c r="B8" s="6" t="inlineStr">
        <is>
          <t>03 Jul 2026, 04:02 UTC</t>
        </is>
      </c>
    </row>
    <row r="10">
      <c r="A10" s="7" t="inlineStr">
        <is>
          <t>Executive summary</t>
        </is>
      </c>
    </row>
    <row r="11" ht="60" customHeight="1">
      <c r="A11" s="8" t="inlineStr">
        <is>
          <t>The control failed. 1 of 3 attribute(s) were positively contradicted by the evidence. The auditee has open remediation to complete before this control can be signed off. Deterministic reperformance surfaced 1 finding(s) the reviewer missed — see the reperformance summary.</t>
        </is>
      </c>
    </row>
    <row r="13">
      <c r="A13" s="7" t="inlineStr">
        <is>
          <t>Key findings</t>
        </is>
      </c>
    </row>
    <row r="14">
      <c r="A14" s="9" t="inlineStr">
        <is>
          <t>FAIL</t>
        </is>
      </c>
      <c r="B14" s="8" t="inlineStr">
        <is>
          <t>Inappropriate or excessive access identified during the review is remediated in a timely manner</t>
        </is>
      </c>
    </row>
    <row r="15">
      <c r="A15" s="7" t="inlineStr">
        <is>
          <t>PASS</t>
        </is>
      </c>
      <c r="B15" s="8" t="inlineStr">
        <is>
          <t>Access reviews are performed on a periodic basis (e.g. quarterly)</t>
        </is>
      </c>
    </row>
    <row r="16">
      <c r="A16" s="7" t="inlineStr">
        <is>
          <t>PASS</t>
        </is>
      </c>
      <c r="B16" s="8" t="inlineStr">
        <is>
          <t>Access is reviewed and approved by an appropriate system or data owner</t>
        </is>
      </c>
    </row>
    <row r="17">
      <c r="A17" s="9" t="inlineStr">
        <is>
          <t>FAIL</t>
        </is>
      </c>
      <c r="B17" s="8" t="inlineStr">
        <is>
          <t>Reviewer missed: Kevin Lewis (kevin.lewis@northpeakfinancial.com) — HRIS shows this employee is terminated, but their system account is still Active. Access should have been revoked.</t>
        </is>
      </c>
    </row>
    <row r="18">
      <c r="A18" s="10" t="inlineStr">
        <is>
          <t>WARN</t>
        </is>
      </c>
      <c r="B18" s="8" t="inlineStr">
        <is>
          <t>No HRIS record: Service Account - Bank Reconciliation (svc-bank-recon@northpeakfinancial.com) — User exists in system access export but has no matching record in the HRIS roster — service account or leaver missed by HR export.</t>
        </is>
      </c>
    </row>
    <row r="19">
      <c r="A19" s="10" t="inlineStr">
        <is>
          <t>WARN</t>
        </is>
      </c>
      <c r="B19" s="8" t="inlineStr">
        <is>
          <t>No HRIS record: Service Account - Boomi Integration (svc-netsuite-integration@northpeakfinancial.com) — User exists in system access export but has no matching record in the HRIS roster — service account or leaver missed by HR export.</t>
        </is>
      </c>
    </row>
    <row r="21">
      <c r="A21" s="7" t="inlineStr">
        <is>
          <t>Recommended actions</t>
        </is>
      </c>
    </row>
    <row r="22" ht="30" customHeight="1">
      <c r="A22" s="11" t="inlineStr">
        <is>
          <t>1</t>
        </is>
      </c>
      <c r="B22" s="8" t="inlineStr">
        <is>
          <t>Remediate the root cause of the FAIL on “Inappropriate or excessive access identified during the review is remediated in a timely manner”, then re-submit for testing. Rationale: Deterministic reperformance identified a terminated employee, Kevin Lewis (HRIS status: terminated), whose NetSuite account remains Active and whom the reviewer marked "Retain" — inappropriate access exists that was neither flagged nor remediated.</t>
        </is>
      </c>
    </row>
    <row r="23" ht="30" customHeight="1">
      <c r="A23" s="11" t="inlineStr">
        <is>
          <t>2</t>
        </is>
      </c>
      <c r="B23" s="8" t="inlineStr">
        <is>
          <t>Revoke Kevin Lewis's access (kevin.lewis@northpeakfinancial.com) and update the review process to catch terminated employees still marked Retain.</t>
        </is>
      </c>
    </row>
    <row r="25">
      <c r="A25" s="7" t="inlineStr">
        <is>
          <t>Reviewer sign-off</t>
        </is>
      </c>
    </row>
    <row r="26">
      <c r="A26" s="12" t="inlineStr">
        <is>
          <t>Decision (Accept / Rework / Reject)</t>
        </is>
      </c>
      <c r="B26" s="13" t="inlineStr"/>
      <c r="C26" s="14" t="n"/>
      <c r="D26" s="15" t="n"/>
    </row>
    <row r="27">
      <c r="A27" s="12" t="inlineStr">
        <is>
          <t>Reviewer name</t>
        </is>
      </c>
      <c r="B27" s="13" t="inlineStr"/>
      <c r="C27" s="14" t="n"/>
      <c r="D27" s="15" t="n"/>
    </row>
    <row r="28">
      <c r="A28" s="12" t="inlineStr">
        <is>
          <t>Reviewer role</t>
        </is>
      </c>
      <c r="B28" s="13" t="inlineStr"/>
      <c r="C28" s="14" t="n"/>
      <c r="D28" s="15" t="n"/>
    </row>
    <row r="29">
      <c r="A29" s="12" t="inlineStr">
        <is>
          <t>Date</t>
        </is>
      </c>
      <c r="B29" s="13" t="inlineStr"/>
      <c r="C29" s="14" t="n"/>
      <c r="D29" s="15" t="n"/>
    </row>
    <row r="30">
      <c r="A30" s="12" t="inlineStr">
        <is>
          <t>Comments</t>
        </is>
      </c>
      <c r="B30" s="13" t="inlineStr"/>
      <c r="C30" s="14" t="n"/>
      <c r="D30" s="15" t="n"/>
    </row>
  </sheetData>
  <mergeCells count="17">
    <mergeCell ref="A1:D1"/>
    <mergeCell ref="B28:D28"/>
    <mergeCell ref="B19:D19"/>
    <mergeCell ref="B14:D14"/>
    <mergeCell ref="B29:D29"/>
    <mergeCell ref="B23:D23"/>
    <mergeCell ref="B22:D22"/>
    <mergeCell ref="B4:D4"/>
    <mergeCell ref="B17:D17"/>
    <mergeCell ref="B18:D18"/>
    <mergeCell ref="B26:D26"/>
    <mergeCell ref="B27:D27"/>
    <mergeCell ref="B30:D30"/>
    <mergeCell ref="A2:D2"/>
    <mergeCell ref="A11:D11"/>
    <mergeCell ref="B15:D15"/>
    <mergeCell ref="B16:D1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12" customWidth="1" min="3" max="3"/>
    <col width="70" customWidth="1" min="4" max="4"/>
    <col width="12" customWidth="1" min="5" max="5"/>
    <col width="40" customWidth="1" min="6" max="6"/>
  </cols>
  <sheetData>
    <row r="1">
      <c r="A1" s="16" t="inlineStr">
        <is>
          <t>Attribute</t>
        </is>
      </c>
      <c r="B1" s="16" t="inlineStr">
        <is>
          <t>Verdict</t>
        </is>
      </c>
      <c r="C1" s="16" t="inlineStr">
        <is>
          <t>Confidence</t>
        </is>
      </c>
      <c r="D1" s="16" t="inlineStr">
        <is>
          <t>Rationale</t>
        </is>
      </c>
      <c r="E1" s="16" t="inlineStr">
        <is>
          <t>Citations</t>
        </is>
      </c>
      <c r="F1" s="16" t="inlineStr">
        <is>
          <t>Exceptions considered</t>
        </is>
      </c>
    </row>
    <row r="2" ht="80" customHeight="1">
      <c r="A2" s="17" t="inlineStr">
        <is>
          <t>Access reviews are performed on a periodic basis (e.g. quarterly)</t>
        </is>
      </c>
      <c r="B2" s="18" t="inlineStr">
        <is>
          <t>SUCCESS</t>
        </is>
      </c>
      <c r="C2" s="17" t="n">
        <v>0.92</v>
      </c>
      <c r="D2" s="17" t="inlineStr">
        <is>
          <t>The Cover sheet positively identifies the Review Type as "Periodic (Quarterly) User Access Review" for Review Period Q2 2026, with Review Completed 2026-06-30. All 334 reviewer decision rows on the Access Review sheet carry a single Review Date of 2026-06-30, consistent with a single quarterly cycle, and IPE checks reconcile the population (334 accounts; 332 in-scope + 2 service) to the Cover totals. The review covered the in-scope NetSuite Production user population as of the review date.</t>
        </is>
      </c>
      <c r="E2" s="17" t="n">
        <v>4</v>
      </c>
      <c r="F2" s="17" t="inlineStr"/>
    </row>
    <row r="3" ht="80" customHeight="1">
      <c r="A3" s="17" t="inlineStr">
        <is>
          <t>Access is reviewed and approved by an appropriate system or data owner</t>
        </is>
      </c>
      <c r="B3" s="18" t="inlineStr">
        <is>
          <t>SUCCESS</t>
        </is>
      </c>
      <c r="C3" s="17" t="n">
        <v>0.9</v>
      </c>
      <c r="D3" s="17" t="inlineStr">
        <is>
          <t>The reviewer is named as Priya Nadkarni, Director, Finance Systems (System Owner) on the Cover sheet, an appropriate owner role for NetSuite (Production). She is distinct from the preparer (Marcus Bell) and is not on the reviewed access list (she is not among the 334 usernames), so she is independent of the users reviewed. Sign-off is documented ("Approved electronically by Priya Nadkarni on 2026-06-30") and dated the same day as the Review Completed date, satisfying the documented, on-or-after approval criterion.</t>
        </is>
      </c>
      <c r="E3" s="17" t="n">
        <v>4</v>
      </c>
      <c r="F3" s="17" t="inlineStr"/>
    </row>
    <row r="4" ht="80" customHeight="1">
      <c r="A4" s="17" t="inlineStr">
        <is>
          <t>Inappropriate or excessive access identified during the review is remediated in a timely manner</t>
        </is>
      </c>
      <c r="B4" s="19" t="inlineStr">
        <is>
          <t>FAIL</t>
        </is>
      </c>
      <c r="C4" s="17" t="n">
        <v>0.9</v>
      </c>
      <c r="D4" s="17" t="inlineStr">
        <is>
          <t>Deterministic reperformance identified a terminated employee, Kevin Lewis (HRIS status: terminated), whose NetSuite account remains Active and whom the reviewer marked "Retain" — inappropriate access exists that was neither flagged nor remediated. While the one item the reviewer did flag (Danielle Goodwin) has a documented remediation path via ITSM-48217, the reperformance surfaces at least one additional case of inappropriate access that was missed and left in place, contradicting the criterion that all flagged inappropriate access be remediated. Evidence of actual system removal (deprovisioning confirmation for Danielle Goodwin) is also not present — only a ticket reference.</t>
        </is>
      </c>
      <c r="E4" s="17" t="n">
        <v>5</v>
      </c>
      <c r="F4" s="17" t="inlineStr">
        <is>
          <t>Considered whether the two service accounts (svc-bank-recon, svc-netsuite-integration) constitute inappropriate access — Cover sheet explicitly scopes them out as integration accounts, so they are not an exception issue for this attribute.
Considered whether Danielle Goodwin's ticketed remediation alone satisfies the criterion — rejected because the reperformance surfaces an additional un-remediated case (Kevin Lewis) and no evidence confirms actual system removal for Danielle Goodwin.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4"/>
  <sheetViews>
    <sheetView workbookViewId="0">
      <pane ySplit="1" topLeftCell="A2" activePane="bottomLeft" state="frozen"/>
      <selection pane="bottomLeft" activeCell="A1" sqref="A1"/>
    </sheetView>
  </sheetViews>
  <sheetFormatPr baseColWidth="8" defaultRowHeight="15"/>
  <cols>
    <col width="45" customWidth="1" min="1" max="1"/>
    <col width="40" customWidth="1" min="2" max="2"/>
    <col width="32" customWidth="1" min="3" max="3"/>
    <col width="70" customWidth="1" min="4" max="4"/>
  </cols>
  <sheetData>
    <row r="1">
      <c r="A1" s="16" t="inlineStr">
        <is>
          <t>Attribute</t>
        </is>
      </c>
      <c r="B1" s="16" t="inlineStr">
        <is>
          <t>File</t>
        </is>
      </c>
      <c r="C1" s="16" t="inlineStr">
        <is>
          <t>Locator</t>
        </is>
      </c>
      <c r="D1" s="16" t="inlineStr">
        <is>
          <t>Observation</t>
        </is>
      </c>
    </row>
    <row r="2">
      <c r="A2" s="17" t="inlineStr">
        <is>
          <t>Access reviews are performed on a periodic basis (e.g. quarterly)</t>
        </is>
      </c>
      <c r="B2" s="17" t="inlineStr">
        <is>
          <t>uar-netsuite-q2-2026.xlsx</t>
        </is>
      </c>
      <c r="C2" s="17" t="inlineStr">
        <is>
          <t>Cover!Review Type / Review Period / Review Completed</t>
        </is>
      </c>
      <c r="D2" s="17" t="inlineStr">
        <is>
          <t>Cover sheet declares Review Type: 'Periodic (Quarterly) User Access Review', Review Period: 'Q2 2026', Review Completed: '2026-06-30', System: 'NetSuite (Production)', Scope: 'All human user accounts with access to NetSuite Production.'</t>
        </is>
      </c>
    </row>
    <row r="3">
      <c r="A3" s="17" t="inlineStr">
        <is>
          <t>Access reviews are performed on a periodic basis (e.g. quarterly)</t>
        </is>
      </c>
      <c r="B3" s="17" t="inlineStr">
        <is>
          <t>uar-netsuite-q2-2026.xlsx</t>
        </is>
      </c>
      <c r="C3" s="17" t="inlineStr">
        <is>
          <t>Access Review!H2:H335 (Review Date column)</t>
        </is>
      </c>
      <c r="D3" s="17" t="inlineStr">
        <is>
          <t>unique_review_dates = ['2026-06-30']; every one of the 334 reviewer decision rows is dated 2026-06-30, indicating a single quarterly review cycle.</t>
        </is>
      </c>
    </row>
    <row r="4">
      <c r="A4" s="17" t="inlineStr">
        <is>
          <t>Access reviews are performed on a periodic basis (e.g. quarterly)</t>
        </is>
      </c>
      <c r="B4" s="17" t="inlineStr">
        <is>
          <t>uar-netsuite-q2-2026.xlsx</t>
        </is>
      </c>
      <c r="C4" s="17" t="inlineStr">
        <is>
          <t>Cover!Reviewer Sign-off</t>
        </is>
      </c>
      <c r="D4" s="17" t="inlineStr">
        <is>
          <t>'Approved electronically by Priya Nadkarni on 2026-06-30.' — completion date documented and signed.</t>
        </is>
      </c>
    </row>
    <row r="5">
      <c r="A5" s="17" t="inlineStr">
        <is>
          <t>Access reviews are performed on a periodic basis (e.g. quarterly)</t>
        </is>
      </c>
      <c r="B5" s="17" t="inlineStr">
        <is>
          <t>uar-netsuite-q2-2026.xlsx</t>
        </is>
      </c>
      <c r="C5" s="17" t="inlineStr">
        <is>
          <t>IPE checks (reperformance)</t>
        </is>
      </c>
      <c r="D5" s="17" t="inlineStr">
        <is>
          <t>IPE reconciliation passes: 334 export rows = 332 in-scope + 2 service accounts, matching Cover totals; population as of review date is fully covered.</t>
        </is>
      </c>
    </row>
    <row r="6">
      <c r="A6" s="17" t="inlineStr">
        <is>
          <t>Access is reviewed and approved by an appropriate system or data owner</t>
        </is>
      </c>
      <c r="B6" s="17" t="inlineStr">
        <is>
          <t>uar-netsuite-q2-2026.xlsx</t>
        </is>
      </c>
      <c r="C6" s="17" t="inlineStr">
        <is>
          <t>Cover!Reviewer / Approver</t>
        </is>
      </c>
      <c r="D6" s="17" t="inlineStr">
        <is>
          <t>Reviewer / Approver identified as 'Priya Nadkarni, Director, Finance Systems (System Owner)'.</t>
        </is>
      </c>
    </row>
    <row r="7">
      <c r="A7" s="17" t="inlineStr">
        <is>
          <t>Access is reviewed and approved by an appropriate system or data owner</t>
        </is>
      </c>
      <c r="B7" s="17" t="inlineStr">
        <is>
          <t>uar-netsuite-q2-2026.xlsx</t>
        </is>
      </c>
      <c r="C7" s="17" t="inlineStr">
        <is>
          <t>Cover!Reviewer Sign-off and Review Completed</t>
        </is>
      </c>
      <c r="D7" s="17" t="inlineStr">
        <is>
          <t>'Approved electronically by Priya Nadkarni on 2026-06-30.' with Review Completed 2026-06-30.</t>
        </is>
      </c>
    </row>
    <row r="8">
      <c r="A8" s="17" t="inlineStr">
        <is>
          <t>Access is reviewed and approved by an appropriate system or data owner</t>
        </is>
      </c>
      <c r="B8" s="17" t="inlineStr">
        <is>
          <t>uar-netsuite-q2-2026.xlsx</t>
        </is>
      </c>
      <c r="C8" s="17" t="inlineStr">
        <is>
          <t>Access Review!G2:G335 (Reviewed By column)</t>
        </is>
      </c>
      <c r="D8" s="17" t="inlineStr">
        <is>
          <t>All 334 rows show 'Priya Nadkarni' as the reviewer with Review Date 2026-06-30.</t>
        </is>
      </c>
    </row>
    <row r="9">
      <c r="A9" s="17" t="inlineStr">
        <is>
          <t>Access is reviewed and approved by an appropriate system or data owner</t>
        </is>
      </c>
      <c r="B9" s="17" t="inlineStr">
        <is>
          <t>uar-netsuite-q2-2026.xlsx</t>
        </is>
      </c>
      <c r="C9" s="17" t="inlineStr">
        <is>
          <t>Cover!Prepared By vs Reviewer</t>
        </is>
      </c>
      <c r="D9" s="17" t="inlineStr">
        <is>
          <t>Preparer (Marcus Bell) is distinct from Reviewer (Priya Nadkarni); Priya Nadkarni does not appear in the list of 334 in-scope usernames, confirming she is not reviewing her own access.</t>
        </is>
      </c>
    </row>
    <row r="10">
      <c r="A10" s="17" t="inlineStr">
        <is>
          <t>Inappropriate or excessive access identified during the review is remediated in a timely manner</t>
        </is>
      </c>
      <c r="B10" s="17" t="inlineStr">
        <is>
          <t>uar-netsuite-q2-2026.xlsx</t>
        </is>
      </c>
      <c r="C10" s="17" t="inlineStr">
        <is>
          <t>Access Review!E187 (Kevin Lewis row)</t>
        </is>
      </c>
      <c r="D10" s="17" t="inlineStr">
        <is>
          <t>Reviewer Decision = 'Retain' for kevin.lewis@northpeakfinancial.com despite HRIS showing him terminated.</t>
        </is>
      </c>
    </row>
    <row r="11">
      <c r="A11" s="17" t="inlineStr">
        <is>
          <t>Inappropriate or excessive access identified during the review is remediated in a timely manner</t>
        </is>
      </c>
      <c r="B11" s="17" t="inlineStr">
        <is>
          <t>hris-employee-export.xlsx</t>
        </is>
      </c>
      <c r="C11" s="17" t="inlineStr">
        <is>
          <t>Employees!D127 (Kevin Lewis)</t>
        </is>
      </c>
      <c r="D11" s="17" t="inlineStr">
        <is>
          <t>HRIS record for Kevin Lewis shows employment status terminated, contradicting the retained decision.</t>
        </is>
      </c>
    </row>
    <row r="12">
      <c r="A12" s="17" t="inlineStr">
        <is>
          <t>Inappropriate or excessive access identified during the review is remediated in a timely manner</t>
        </is>
      </c>
      <c r="B12" s="17" t="inlineStr">
        <is>
          <t>uar-netsuite-q2-2026.xlsx</t>
        </is>
      </c>
      <c r="C12" s="17" t="inlineStr">
        <is>
          <t>Cover sheet — Observation 1 / Conclusion</t>
        </is>
      </c>
      <c r="D12" s="17" t="inlineStr">
        <is>
          <t>Only 1 observation raised (Danielle Goodwin) with remediation via ITSM-48217; no mention of Kevin Lewis or any other terminated-but-active user.</t>
        </is>
      </c>
    </row>
    <row r="13">
      <c r="A13" s="17" t="inlineStr">
        <is>
          <t>Inappropriate or excessive access identified during the review is remediated in a timely manner</t>
        </is>
      </c>
      <c r="B13" s="17" t="inlineStr">
        <is>
          <t>reperformance</t>
        </is>
      </c>
      <c r="C13" s="17" t="inlineStr">
        <is>
          <t>reviewer_missed_findings (count=1)</t>
        </is>
      </c>
      <c r="D13" s="17" t="inlineStr">
        <is>
          <t>Reconciliation flagged Kevin Lewis as terminated-in-HRIS but retained by the reviewer — a case of inappropriate access not identified and not remediated.</t>
        </is>
      </c>
    </row>
    <row r="14">
      <c r="A14" s="17" t="inlineStr">
        <is>
          <t>Inappropriate or excessive access identified during the review is remediated in a timely manner</t>
        </is>
      </c>
      <c r="B14" s="17" t="inlineStr">
        <is>
          <t>uar-netsuite-q2-2026.xlsx</t>
        </is>
      </c>
      <c r="C14" s="17" t="inlineStr">
        <is>
          <t>Cover sheet — Observation 1 remediation text</t>
        </is>
      </c>
      <c r="D14" s="17" t="inlineStr">
        <is>
          <t>Remediation for Danielle Goodwin is only a raised ticket (ITSM-48217, due within 5 business days); no evidence provided that the account was actually deprovisioned in NetSuite.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20" t="inlineStr">
        <is>
          <t>Deterministic reperformance</t>
        </is>
      </c>
    </row>
    <row r="2">
      <c r="A2" s="21" t="inlineStr">
        <is>
          <t>The deterministic re-check output. This is the ground-truth layer the LLM judge sees.</t>
        </is>
      </c>
    </row>
    <row r="4" ht="100" customHeight="1">
      <c r="A4" s="8" t="inlineStr">
        <is>
          <t>System export: 334 rows | HRIS roster: 720 rows | Reviewer sheet: 334 rows | Matched to HRIS: 332 | Orphans (no HRIS record): 2 | Terminated but active in system: 2 | On leave but active in system: 8 | Reviewer missed (terminated + retained): 1</t>
        </is>
      </c>
    </row>
  </sheetData>
  <mergeCells count="2">
    <mergeCell ref="A4:D4"/>
    <mergeCell ref="A2:D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
  <sheetViews>
    <sheetView workbookViewId="0">
      <pane ySplit="1" topLeftCell="A2" activePane="bottomLeft" state="frozen"/>
      <selection pane="bottomLeft" activeCell="A1" sqref="A1"/>
    </sheetView>
  </sheetViews>
  <sheetFormatPr baseColWidth="8" defaultRowHeight="15"/>
  <cols>
    <col width="55" customWidth="1" min="1" max="1"/>
    <col width="14" customWidth="1" min="2" max="2"/>
    <col width="14" customWidth="1" min="3" max="3"/>
    <col width="55" customWidth="1" min="4" max="4"/>
    <col width="40" customWidth="1" min="5" max="5"/>
  </cols>
  <sheetData>
    <row r="1">
      <c r="A1" s="16" t="inlineStr">
        <is>
          <t>File</t>
        </is>
      </c>
      <c r="B1" s="16" t="inlineStr">
        <is>
          <t>Type</t>
        </is>
      </c>
      <c r="C1" s="16" t="inlineStr">
        <is>
          <t>Size (bytes)</t>
        </is>
      </c>
      <c r="D1" s="16" t="inlineStr">
        <is>
          <t>Extraction summary</t>
        </is>
      </c>
      <c r="E1" s="16" t="inlineStr">
        <is>
          <t>Cited by attributes</t>
        </is>
      </c>
    </row>
    <row r="2">
      <c r="A2" s="17" t="inlineStr">
        <is>
          <t>hris-employee-export.xlsx</t>
        </is>
      </c>
      <c r="B2" s="17" t="inlineStr">
        <is>
          <t>xlsx</t>
        </is>
      </c>
      <c r="C2" s="17" t="n">
        <v>60772</v>
      </c>
      <c r="D2" s="17" t="inlineStr">
        <is>
          <t>Workbook · 2 sheet(s), 720 rows total. Sheets: Employees, Notes</t>
        </is>
      </c>
      <c r="E2" s="17" t="inlineStr">
        <is>
          <t>timely-remediation</t>
        </is>
      </c>
    </row>
    <row r="3">
      <c r="A3" s="17" t="inlineStr">
        <is>
          <t>uar-netsuite-q2-2026.xlsx</t>
        </is>
      </c>
      <c r="B3" s="17" t="inlineStr">
        <is>
          <t>xlsx</t>
        </is>
      </c>
      <c r="C3" s="17" t="n">
        <v>42432</v>
      </c>
      <c r="D3" s="17" t="inlineStr">
        <is>
          <t>Workbook · 4 sheet(s), 668 rows total. Sheets: Cover, System Access Export, Access Review, Summary &amp; Observations</t>
        </is>
      </c>
      <c r="E3" s="17" t="inlineStr">
        <is>
          <t>periodic-review-cadence, periodic-review-cadence, periodic-review-cadence, periodic-review-cadence, reviewed-approved-by-owner, reviewed-approved-by-owner, reviewed-approved-by-owner, reviewed-approved-by-owner, timely-remediation, timely-remediation, timely-remediation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55" customWidth="1" min="3" max="3"/>
    <col width="24" customWidth="1" min="4" max="4"/>
    <col width="14" customWidth="1" min="5" max="5"/>
    <col width="14" customWidth="1" min="6" max="6"/>
    <col width="14" customWidth="1" min="7" max="7"/>
    <col width="12" customWidth="1" min="8" max="8"/>
    <col width="14" customWidth="1" min="9" max="9"/>
  </cols>
  <sheetData>
    <row r="1">
      <c r="A1" s="16" t="inlineStr">
        <is>
          <t>#</t>
        </is>
      </c>
      <c r="B1" s="16" t="inlineStr">
        <is>
          <t>Timestamp</t>
        </is>
      </c>
      <c r="C1" s="16" t="inlineStr">
        <is>
          <t>Purpose</t>
        </is>
      </c>
      <c r="D1" s="16" t="inlineStr">
        <is>
          <t>Model</t>
        </is>
      </c>
      <c r="E1" s="16" t="inlineStr">
        <is>
          <t>Input tokens</t>
        </is>
      </c>
      <c r="F1" s="16" t="inlineStr">
        <is>
          <t>Cache read</t>
        </is>
      </c>
      <c r="G1" s="16" t="inlineStr">
        <is>
          <t>Output tokens</t>
        </is>
      </c>
      <c r="H1" s="16" t="inlineStr">
        <is>
          <t>Cost USD</t>
        </is>
      </c>
      <c r="I1" s="16" t="inlineStr">
        <is>
          <t>Latency (ms)</t>
        </is>
      </c>
    </row>
    <row r="2">
      <c r="A2" s="17" t="n">
        <v>1</v>
      </c>
      <c r="B2" s="17" t="inlineStr">
        <is>
          <t>2026-07-03T04:02:28.582885Z</t>
        </is>
      </c>
      <c r="C2" s="17" t="inlineStr">
        <is>
          <t>judge:periodic-review-cadence:sample-1</t>
        </is>
      </c>
      <c r="D2" s="17" t="inlineStr">
        <is>
          <t>claude-opus-4-7</t>
        </is>
      </c>
      <c r="E2" s="17" t="n">
        <v>26600</v>
      </c>
      <c r="F2" s="17" t="n">
        <v>0</v>
      </c>
      <c r="G2" s="17" t="n">
        <v>940</v>
      </c>
      <c r="H2" s="22" t="n">
        <v>0.48891375</v>
      </c>
      <c r="I2" s="17" t="n">
        <v>12379</v>
      </c>
    </row>
    <row r="3">
      <c r="A3" s="17" t="n">
        <v>2</v>
      </c>
      <c r="B3" s="17" t="inlineStr">
        <is>
          <t>2026-07-03T04:02:39.916718Z</t>
        </is>
      </c>
      <c r="C3" s="17" t="inlineStr">
        <is>
          <t>judge:reviewed-approved-by-owner:sample-1</t>
        </is>
      </c>
      <c r="D3" s="17" t="inlineStr">
        <is>
          <t>claude-opus-4-7</t>
        </is>
      </c>
      <c r="E3" s="17" t="n">
        <v>26647</v>
      </c>
      <c r="F3" s="17" t="n">
        <v>5177</v>
      </c>
      <c r="G3" s="17" t="n">
        <v>904</v>
      </c>
      <c r="H3" s="22" t="n">
        <v>0.3976155</v>
      </c>
      <c r="I3" s="17" t="n">
        <v>11331</v>
      </c>
    </row>
    <row r="4">
      <c r="A4" s="17" t="n">
        <v>3</v>
      </c>
      <c r="B4" s="17" t="inlineStr">
        <is>
          <t>2026-07-03T04:02:58.039390Z</t>
        </is>
      </c>
      <c r="C4" s="17" t="inlineStr">
        <is>
          <t>judge:timely-remediation:sample-1</t>
        </is>
      </c>
      <c r="D4" s="17" t="inlineStr">
        <is>
          <t>claude-opus-4-7</t>
        </is>
      </c>
      <c r="E4" s="17" t="n">
        <v>26650</v>
      </c>
      <c r="F4" s="17" t="n">
        <v>5177</v>
      </c>
      <c r="G4" s="17" t="n">
        <v>1208</v>
      </c>
      <c r="H4" s="22" t="n">
        <v>0.4204605</v>
      </c>
      <c r="I4" s="17" t="n">
        <v>18118</v>
      </c>
    </row>
    <row r="5">
      <c r="C5" s="23" t="inlineStr">
        <is>
          <t>TOTAL</t>
        </is>
      </c>
      <c r="E5" s="23">
        <f>SUM(E2:E4)</f>
        <v/>
      </c>
      <c r="F5" s="23">
        <f>SUM(F2:F4)</f>
        <v/>
      </c>
      <c r="G5" s="23">
        <f>SUM(G2:G4)</f>
        <v/>
      </c>
      <c r="H5" s="24">
        <f>SUM(H2:H4)</f>
        <v/>
      </c>
      <c r="I5" s="23">
        <f>SUM(I2:I4)</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2026-07-03T04:09:19Z</dcterms:created>
  <dcterms:modified xsi:type="dcterms:W3CDTF">2026-07-03T04:09:19Z</dcterms:modified>
</cp:coreProperties>
</file>